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or\Downloads\"/>
    </mc:Choice>
  </mc:AlternateContent>
  <xr:revisionPtr revIDLastSave="0" documentId="13_ncr:1_{05244DEE-8E99-438F-B35A-686280E5BA21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Homicidios" sheetId="12" r:id="rId6"/>
    <sheet name="Defunciones generales" sheetId="13" r:id="rId7"/>
  </sheets>
  <externalReferences>
    <externalReference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30" i="10" l="1"/>
  <c r="AB29" i="10"/>
  <c r="AA30" i="10"/>
  <c r="AA29" i="10"/>
  <c r="AA28" i="10"/>
  <c r="G22" i="10"/>
  <c r="E11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5" i="10"/>
  <c r="J4" i="10"/>
  <c r="D4" i="10"/>
  <c r="F4" i="10" s="1"/>
  <c r="G4" i="10"/>
  <c r="E4" i="10"/>
  <c r="J28" i="10" l="1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K27" i="10"/>
  <c r="J27" i="10"/>
  <c r="H28" i="10"/>
  <c r="H29" i="10"/>
  <c r="I29" i="10" s="1"/>
  <c r="H30" i="10"/>
  <c r="H31" i="10"/>
  <c r="H32" i="10"/>
  <c r="H33" i="10"/>
  <c r="H34" i="10"/>
  <c r="H35" i="10"/>
  <c r="I35" i="10" s="1"/>
  <c r="H36" i="10"/>
  <c r="H37" i="10"/>
  <c r="I37" i="10" s="1"/>
  <c r="H38" i="10"/>
  <c r="H39" i="10"/>
  <c r="H40" i="10"/>
  <c r="H41" i="10"/>
  <c r="H42" i="10"/>
  <c r="H43" i="10"/>
  <c r="I43" i="10" s="1"/>
  <c r="H44" i="10"/>
  <c r="I44" i="10" s="1"/>
  <c r="H45" i="10"/>
  <c r="I45" i="10" s="1"/>
  <c r="H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27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4" i="10"/>
  <c r="H5" i="10"/>
  <c r="I5" i="10" s="1"/>
  <c r="H6" i="10"/>
  <c r="H7" i="10"/>
  <c r="H8" i="10"/>
  <c r="I8" i="10" s="1"/>
  <c r="H9" i="10"/>
  <c r="I9" i="10" s="1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H16" i="10"/>
  <c r="I16" i="10" s="1"/>
  <c r="H17" i="10"/>
  <c r="H18" i="10"/>
  <c r="H19" i="10"/>
  <c r="I19" i="10" s="1"/>
  <c r="H20" i="10"/>
  <c r="I20" i="10" s="1"/>
  <c r="H21" i="10"/>
  <c r="I21" i="10" s="1"/>
  <c r="H22" i="10"/>
  <c r="I22" i="10" s="1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E5" i="10"/>
  <c r="E6" i="10"/>
  <c r="E7" i="10"/>
  <c r="E8" i="10"/>
  <c r="E9" i="10"/>
  <c r="E10" i="10"/>
  <c r="E12" i="10"/>
  <c r="E13" i="10"/>
  <c r="E14" i="10"/>
  <c r="E15" i="10"/>
  <c r="E16" i="10"/>
  <c r="E17" i="10"/>
  <c r="E18" i="10"/>
  <c r="E19" i="10"/>
  <c r="E20" i="10"/>
  <c r="E21" i="10"/>
  <c r="E22" i="10"/>
  <c r="D5" i="10"/>
  <c r="D6" i="10"/>
  <c r="F6" i="10" s="1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V9" i="10"/>
  <c r="AB28" i="10"/>
  <c r="I30" i="10"/>
  <c r="I32" i="10"/>
  <c r="V32" i="10"/>
  <c r="I33" i="10"/>
  <c r="I34" i="10"/>
  <c r="I38" i="10"/>
  <c r="I39" i="10"/>
  <c r="I40" i="10"/>
  <c r="I42" i="10"/>
  <c r="AH5" i="1"/>
  <c r="AJ6" i="1"/>
  <c r="L4" i="10" l="1"/>
  <c r="I4" i="10"/>
  <c r="F28" i="10"/>
  <c r="F41" i="10"/>
  <c r="L41" i="10" s="1"/>
  <c r="M41" i="10" s="1"/>
  <c r="F42" i="10"/>
  <c r="L42" i="10" s="1"/>
  <c r="M42" i="10" s="1"/>
  <c r="F27" i="10"/>
  <c r="F34" i="10"/>
  <c r="L34" i="10" s="1"/>
  <c r="M34" i="10" s="1"/>
  <c r="F16" i="10"/>
  <c r="L16" i="10" s="1"/>
  <c r="M16" i="10" s="1"/>
  <c r="F35" i="10"/>
  <c r="L35" i="10" s="1"/>
  <c r="M35" i="10" s="1"/>
  <c r="F12" i="10"/>
  <c r="L12" i="10" s="1"/>
  <c r="M12" i="10" s="1"/>
  <c r="F31" i="10"/>
  <c r="L31" i="10" s="1"/>
  <c r="M31" i="10" s="1"/>
  <c r="F21" i="10"/>
  <c r="L21" i="10" s="1"/>
  <c r="M21" i="10" s="1"/>
  <c r="P21" i="10" s="1"/>
  <c r="F11" i="10"/>
  <c r="L11" i="10" s="1"/>
  <c r="M11" i="10" s="1"/>
  <c r="F17" i="10"/>
  <c r="L17" i="10" s="1"/>
  <c r="M17" i="10" s="1"/>
  <c r="F45" i="10"/>
  <c r="P45" i="10" s="1"/>
  <c r="F14" i="10"/>
  <c r="L14" i="10" s="1"/>
  <c r="M14" i="10" s="1"/>
  <c r="F19" i="10"/>
  <c r="L19" i="10" s="1"/>
  <c r="M19" i="10" s="1"/>
  <c r="F5" i="10"/>
  <c r="F43" i="10"/>
  <c r="L43" i="10" s="1"/>
  <c r="M43" i="10" s="1"/>
  <c r="F15" i="10"/>
  <c r="L15" i="10" s="1"/>
  <c r="M15" i="10" s="1"/>
  <c r="L6" i="10"/>
  <c r="M6" i="10" s="1"/>
  <c r="F37" i="10"/>
  <c r="L37" i="10" s="1"/>
  <c r="M37" i="10" s="1"/>
  <c r="F44" i="10"/>
  <c r="F30" i="10"/>
  <c r="L30" i="10" s="1"/>
  <c r="M30" i="10" s="1"/>
  <c r="F39" i="10"/>
  <c r="L39" i="10" s="1"/>
  <c r="M39" i="10" s="1"/>
  <c r="F32" i="10"/>
  <c r="L32" i="10" s="1"/>
  <c r="M32" i="10" s="1"/>
  <c r="F40" i="10"/>
  <c r="L40" i="10" s="1"/>
  <c r="M40" i="10" s="1"/>
  <c r="F10" i="10"/>
  <c r="L10" i="10" s="1"/>
  <c r="M10" i="10" s="1"/>
  <c r="F9" i="10"/>
  <c r="L9" i="10" s="1"/>
  <c r="M9" i="10" s="1"/>
  <c r="F33" i="10"/>
  <c r="L33" i="10" s="1"/>
  <c r="M33" i="10" s="1"/>
  <c r="F36" i="10"/>
  <c r="L36" i="10" s="1"/>
  <c r="M36" i="10" s="1"/>
  <c r="F29" i="10"/>
  <c r="F22" i="10"/>
  <c r="L22" i="10" s="1"/>
  <c r="M22" i="10" s="1"/>
  <c r="I41" i="10"/>
  <c r="F20" i="10"/>
  <c r="L20" i="10" s="1"/>
  <c r="M20" i="10" s="1"/>
  <c r="F38" i="10"/>
  <c r="L38" i="10" s="1"/>
  <c r="M38" i="10" s="1"/>
  <c r="L28" i="10"/>
  <c r="M28" i="10" s="1"/>
  <c r="I28" i="10"/>
  <c r="F18" i="10"/>
  <c r="L18" i="10" s="1"/>
  <c r="M18" i="10" s="1"/>
  <c r="I17" i="10"/>
  <c r="I36" i="10"/>
  <c r="F13" i="10"/>
  <c r="L13" i="10" s="1"/>
  <c r="M13" i="10" s="1"/>
  <c r="I15" i="10"/>
  <c r="I27" i="10"/>
  <c r="I7" i="10"/>
  <c r="I31" i="10"/>
  <c r="F7" i="10"/>
  <c r="L7" i="10" s="1"/>
  <c r="M7" i="10" s="1"/>
  <c r="I18" i="10"/>
  <c r="F8" i="10"/>
  <c r="L8" i="10" s="1"/>
  <c r="M8" i="10" s="1"/>
  <c r="I6" i="10"/>
  <c r="AJ28" i="1"/>
  <c r="L29" i="10" l="1"/>
  <c r="M29" i="10" s="1"/>
  <c r="P29" i="10" s="1"/>
  <c r="L44" i="10"/>
  <c r="M44" i="10" s="1"/>
  <c r="P44" i="10" s="1"/>
  <c r="L27" i="10"/>
  <c r="M27" i="10" s="1"/>
  <c r="P27" i="10" s="1"/>
  <c r="P28" i="10"/>
  <c r="L5" i="10"/>
  <c r="M5" i="10" s="1"/>
  <c r="P5" i="10" s="1"/>
  <c r="P22" i="10"/>
  <c r="L45" i="10"/>
  <c r="M45" i="10" s="1"/>
  <c r="P6" i="10"/>
  <c r="N5" i="10"/>
  <c r="M4" i="10"/>
  <c r="AJ8" i="1"/>
  <c r="AJ23" i="1"/>
  <c r="N6" i="10" l="1"/>
  <c r="N28" i="10"/>
  <c r="O28" i="10" s="1"/>
  <c r="O4" i="10"/>
  <c r="P4" i="10"/>
  <c r="O5" i="10"/>
  <c r="O27" i="10"/>
  <c r="Q27" i="10" s="1"/>
  <c r="AJ12" i="1"/>
  <c r="N29" i="10" l="1"/>
  <c r="Q4" i="10"/>
  <c r="Q5" i="10"/>
  <c r="O6" i="10"/>
  <c r="N7" i="10"/>
  <c r="Q28" i="10"/>
  <c r="N30" i="10"/>
  <c r="O29" i="10"/>
  <c r="AN25" i="1"/>
  <c r="AN23" i="1"/>
  <c r="AN19" i="1"/>
  <c r="AN22" i="1"/>
  <c r="AN21" i="1"/>
  <c r="AN24" i="1"/>
  <c r="AN20" i="1"/>
  <c r="AN18" i="1"/>
  <c r="AJ33" i="1"/>
  <c r="AM5" i="1"/>
  <c r="C23" i="2" s="1"/>
  <c r="AV11" i="1"/>
  <c r="AO12" i="1"/>
  <c r="AN7" i="1"/>
  <c r="AS10" i="1"/>
  <c r="AV8" i="1"/>
  <c r="AS13" i="1"/>
  <c r="AS7" i="1"/>
  <c r="AP12" i="1"/>
  <c r="AP10" i="1"/>
  <c r="AO9" i="1"/>
  <c r="AM8" i="1"/>
  <c r="AR11" i="1"/>
  <c r="AS12" i="1"/>
  <c r="AM12" i="1"/>
  <c r="AP7" i="1"/>
  <c r="AN8" i="1"/>
  <c r="AM11" i="1"/>
  <c r="AM9" i="1"/>
  <c r="AT12" i="1"/>
  <c r="AV12" i="1"/>
  <c r="AR10" i="1"/>
  <c r="AP8" i="1"/>
  <c r="AN10" i="1"/>
  <c r="AP13" i="1"/>
  <c r="AV9" i="1"/>
  <c r="AO8" i="1"/>
  <c r="AN11" i="1"/>
  <c r="AO10" i="1"/>
  <c r="AV10" i="1"/>
  <c r="AR7" i="1"/>
  <c r="AR12" i="1"/>
  <c r="AT13" i="1"/>
  <c r="AN9" i="1"/>
  <c r="AV13" i="1"/>
  <c r="AT10" i="1"/>
  <c r="AS9" i="1"/>
  <c r="AP11" i="1"/>
  <c r="AV7" i="1"/>
  <c r="AR8" i="1"/>
  <c r="AR13" i="1"/>
  <c r="AN12" i="1"/>
  <c r="AS11" i="1"/>
  <c r="AO11" i="1"/>
  <c r="AT8" i="1"/>
  <c r="AT11" i="1"/>
  <c r="AM7" i="1"/>
  <c r="AR9" i="1"/>
  <c r="AP9" i="1"/>
  <c r="AM10" i="1"/>
  <c r="AO13" i="1"/>
  <c r="AT9" i="1"/>
  <c r="AN13" i="1"/>
  <c r="AS8" i="1"/>
  <c r="AT7" i="1"/>
  <c r="AO7" i="1"/>
  <c r="AM13" i="1"/>
  <c r="O30" i="10" l="1"/>
  <c r="N31" i="10"/>
  <c r="Q29" i="10"/>
  <c r="N8" i="10"/>
  <c r="Q6" i="10"/>
  <c r="O7" i="10"/>
  <c r="N32" i="10" l="1"/>
  <c r="O31" i="10"/>
  <c r="O8" i="10"/>
  <c r="N9" i="10"/>
  <c r="P30" i="10" l="1"/>
  <c r="Q30" i="10" s="1"/>
  <c r="N33" i="10"/>
  <c r="O32" i="10"/>
  <c r="O9" i="10"/>
  <c r="N10" i="10"/>
  <c r="P7" i="10"/>
  <c r="Q7" i="10" s="1"/>
  <c r="P31" i="10" l="1"/>
  <c r="Q31" i="10" s="1"/>
  <c r="O10" i="10"/>
  <c r="P9" i="10" s="1"/>
  <c r="Q9" i="10" s="1"/>
  <c r="N11" i="10"/>
  <c r="N34" i="10"/>
  <c r="O33" i="10"/>
  <c r="P32" i="10" s="1"/>
  <c r="P8" i="10"/>
  <c r="Q8" i="10" s="1"/>
  <c r="Q32" i="10" l="1"/>
  <c r="O34" i="10"/>
  <c r="P33" i="10" s="1"/>
  <c r="Q33" i="10" s="1"/>
  <c r="N35" i="10"/>
  <c r="N12" i="10"/>
  <c r="O11" i="10"/>
  <c r="P10" i="10" l="1"/>
  <c r="Q10" i="10" s="1"/>
  <c r="O12" i="10"/>
  <c r="N13" i="10"/>
  <c r="O35" i="10"/>
  <c r="N36" i="10"/>
  <c r="N37" i="10" l="1"/>
  <c r="O36" i="10"/>
  <c r="P34" i="10"/>
  <c r="Q34" i="10" s="1"/>
  <c r="P11" i="10"/>
  <c r="Q11" i="10" s="1"/>
  <c r="O13" i="10"/>
  <c r="N14" i="10"/>
  <c r="P35" i="10" l="1"/>
  <c r="Q35" i="10" s="1"/>
  <c r="P12" i="10"/>
  <c r="Q12" i="10" s="1"/>
  <c r="O14" i="10"/>
  <c r="N15" i="10"/>
  <c r="O37" i="10"/>
  <c r="N38" i="10"/>
  <c r="O38" i="10" l="1"/>
  <c r="P37" i="10" s="1"/>
  <c r="Q37" i="10" s="1"/>
  <c r="N39" i="10"/>
  <c r="P36" i="10"/>
  <c r="Q36" i="10" s="1"/>
  <c r="O15" i="10"/>
  <c r="P14" i="10" s="1"/>
  <c r="Q14" i="10" s="1"/>
  <c r="N16" i="10"/>
  <c r="P13" i="10"/>
  <c r="Q13" i="10" s="1"/>
  <c r="O39" i="10" l="1"/>
  <c r="N40" i="10"/>
  <c r="N17" i="10"/>
  <c r="O16" i="10"/>
  <c r="O17" i="10" l="1"/>
  <c r="P16" i="10" s="1"/>
  <c r="Q16" i="10" s="1"/>
  <c r="N18" i="10"/>
  <c r="P38" i="10"/>
  <c r="Q38" i="10" s="1"/>
  <c r="N41" i="10"/>
  <c r="O40" i="10"/>
  <c r="P15" i="10"/>
  <c r="Q15" i="10" s="1"/>
  <c r="N42" i="10" l="1"/>
  <c r="O41" i="10"/>
  <c r="P40" i="10" s="1"/>
  <c r="Q40" i="10" s="1"/>
  <c r="O18" i="10"/>
  <c r="P17" i="10" s="1"/>
  <c r="Q17" i="10" s="1"/>
  <c r="N19" i="10"/>
  <c r="P39" i="10"/>
  <c r="Q39" i="10" s="1"/>
  <c r="O19" i="10" l="1"/>
  <c r="N20" i="10"/>
  <c r="N43" i="10"/>
  <c r="O42" i="10"/>
  <c r="P41" i="10" l="1"/>
  <c r="Q41" i="10" s="1"/>
  <c r="O43" i="10"/>
  <c r="P42" i="10" s="1"/>
  <c r="Q42" i="10" s="1"/>
  <c r="N44" i="10"/>
  <c r="O20" i="10"/>
  <c r="P19" i="10" s="1"/>
  <c r="Q19" i="10" s="1"/>
  <c r="N21" i="10"/>
  <c r="P18" i="10"/>
  <c r="Q18" i="10" s="1"/>
  <c r="O21" i="10" l="1"/>
  <c r="P20" i="10" s="1"/>
  <c r="Q20" i="10" s="1"/>
  <c r="N22" i="10"/>
  <c r="O44" i="10"/>
  <c r="N45" i="10"/>
  <c r="Q45" i="10" s="1"/>
  <c r="Q22" i="10" l="1"/>
  <c r="O22" i="10"/>
  <c r="P43" i="10"/>
  <c r="Q43" i="10" s="1"/>
  <c r="Q21" i="10"/>
  <c r="Q44" i="10"/>
  <c r="O45" i="10"/>
  <c r="R45" i="10" s="1"/>
  <c r="R22" i="10" l="1"/>
  <c r="R21" i="10" s="1"/>
  <c r="R44" i="10"/>
  <c r="S45" i="10"/>
  <c r="T45" i="10" s="1"/>
  <c r="S22" i="10" l="1"/>
  <c r="T22" i="10" s="1"/>
  <c r="R43" i="10"/>
  <c r="S44" i="10"/>
  <c r="T44" i="10" s="1"/>
  <c r="R20" i="10"/>
  <c r="S21" i="10"/>
  <c r="T21" i="10" s="1"/>
  <c r="S43" i="10" l="1"/>
  <c r="T43" i="10" s="1"/>
  <c r="R42" i="10"/>
  <c r="R19" i="10"/>
  <c r="S20" i="10"/>
  <c r="T20" i="10" s="1"/>
  <c r="R18" i="10" l="1"/>
  <c r="S19" i="10"/>
  <c r="T19" i="10" s="1"/>
  <c r="S42" i="10"/>
  <c r="T42" i="10" s="1"/>
  <c r="R41" i="10"/>
  <c r="R40" i="10" l="1"/>
  <c r="S41" i="10"/>
  <c r="T41" i="10" s="1"/>
  <c r="R17" i="10"/>
  <c r="S18" i="10"/>
  <c r="T18" i="10" s="1"/>
  <c r="S17" i="10" l="1"/>
  <c r="T17" i="10" s="1"/>
  <c r="R16" i="10"/>
  <c r="S40" i="10"/>
  <c r="T40" i="10" s="1"/>
  <c r="R39" i="10"/>
  <c r="R38" i="10" l="1"/>
  <c r="S39" i="10"/>
  <c r="T39" i="10" s="1"/>
  <c r="S16" i="10"/>
  <c r="T16" i="10" s="1"/>
  <c r="R15" i="10"/>
  <c r="R14" i="10" l="1"/>
  <c r="S15" i="10"/>
  <c r="T15" i="10" s="1"/>
  <c r="R37" i="10"/>
  <c r="S38" i="10"/>
  <c r="T38" i="10" s="1"/>
  <c r="R36" i="10" l="1"/>
  <c r="S37" i="10"/>
  <c r="T37" i="10" s="1"/>
  <c r="S14" i="10"/>
  <c r="T14" i="10" s="1"/>
  <c r="R13" i="10"/>
  <c r="R12" i="10" l="1"/>
  <c r="S13" i="10"/>
  <c r="T13" i="10" s="1"/>
  <c r="R35" i="10"/>
  <c r="S36" i="10"/>
  <c r="T36" i="10" s="1"/>
  <c r="S12" i="10" l="1"/>
  <c r="T12" i="10" s="1"/>
  <c r="R11" i="10"/>
  <c r="S35" i="10"/>
  <c r="T35" i="10" s="1"/>
  <c r="R34" i="10"/>
  <c r="S34" i="10" l="1"/>
  <c r="T34" i="10" s="1"/>
  <c r="R33" i="10"/>
  <c r="R10" i="10"/>
  <c r="S11" i="10"/>
  <c r="T11" i="10" s="1"/>
  <c r="S10" i="10" l="1"/>
  <c r="T10" i="10" s="1"/>
  <c r="R9" i="10"/>
  <c r="R32" i="10"/>
  <c r="S33" i="10"/>
  <c r="T33" i="10" s="1"/>
  <c r="R8" i="10" l="1"/>
  <c r="S9" i="10"/>
  <c r="T9" i="10" s="1"/>
  <c r="R31" i="10"/>
  <c r="S32" i="10"/>
  <c r="T32" i="10" s="1"/>
  <c r="R30" i="10" l="1"/>
  <c r="S31" i="10"/>
  <c r="T31" i="10" s="1"/>
  <c r="R7" i="10"/>
  <c r="S8" i="10"/>
  <c r="T8" i="10" s="1"/>
  <c r="S7" i="10" l="1"/>
  <c r="T7" i="10" s="1"/>
  <c r="R6" i="10"/>
  <c r="S30" i="10"/>
  <c r="T30" i="10" s="1"/>
  <c r="R29" i="10"/>
  <c r="S29" i="10" l="1"/>
  <c r="T29" i="10" s="1"/>
  <c r="R28" i="10"/>
  <c r="R5" i="10"/>
  <c r="S6" i="10"/>
  <c r="T6" i="10" s="1"/>
  <c r="R4" i="10" l="1"/>
  <c r="S4" i="10" s="1"/>
  <c r="AA27" i="10" s="1"/>
  <c r="S5" i="10"/>
  <c r="T5" i="10" s="1"/>
  <c r="R27" i="10"/>
  <c r="S28" i="10"/>
  <c r="T28" i="10" s="1"/>
  <c r="S27" i="10" l="1"/>
  <c r="W32" i="10"/>
  <c r="W33" i="10" s="1"/>
  <c r="W9" i="10"/>
  <c r="W10" i="10" s="1"/>
  <c r="T4" i="10" l="1"/>
  <c r="T27" i="10"/>
  <c r="AB27" i="10"/>
</calcChain>
</file>

<file path=xl/sharedStrings.xml><?xml version="1.0" encoding="utf-8"?>
<sst xmlns="http://schemas.openxmlformats.org/spreadsheetml/2006/main" count="582" uniqueCount="136">
  <si>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</si>
  <si>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</si>
  <si>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</si>
  <si>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</si>
  <si>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</si>
  <si>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</si>
  <si>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</si>
  <si>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</si>
  <si>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</si>
  <si>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</si>
  <si>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</si>
  <si>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</si>
  <si>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</si>
  <si>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</si>
  <si>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</si>
  <si>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</si>
  <si>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</si>
  <si>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</si>
  <si>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</si>
  <si>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</si>
  <si>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</si>
  <si>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</si>
  <si>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</si>
  <si>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</si>
  <si>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</si>
  <si>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</si>
  <si>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</si>
  <si>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</si>
  <si>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</si>
  <si>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</si>
  <si>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</si>
  <si>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</si>
  <si>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</si>
  <si>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</si>
  <si>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</si>
  <si>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</si>
  <si>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</si>
  <si>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</si>
  <si>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</si>
  <si>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</si>
  <si>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</si>
  <si>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</si>
  <si>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</si>
  <si>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</si>
  <si>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</si>
  <si>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</si>
  <si>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</si>
  <si>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</si>
  <si>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</si>
  <si>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</si>
  <si>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</si>
  <si>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</si>
  <si>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</si>
  <si>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</si>
  <si>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</si>
  <si>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</si>
  <si>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</si>
  <si>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</si>
  <si>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</si>
  <si>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</si>
  <si>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</si>
  <si>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</si>
  <si>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</si>
  <si>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</si>
  <si>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</si>
  <si>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</si>
  <si>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</si>
  <si>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</si>
  <si>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</si>
  <si>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</si>
  <si>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</si>
  <si>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</si>
  <si>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</si>
  <si>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</si>
  <si>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</si>
  <si>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</si>
  <si>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</si>
  <si>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</si>
  <si>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</si>
  <si>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</si>
  <si>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</si>
  <si>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</si>
  <si>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</si>
  <si>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</si>
  <si>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</si>
  <si>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</si>
  <si>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</si>
  <si>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</si>
  <si>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</si>
  <si>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</si>
  <si>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</si>
  <si>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</si>
  <si>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</si>
  <si>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</si>
  <si>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</si>
  <si>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</si>
  <si>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</si>
  <si>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</si>
  <si>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</si>
  <si>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</si>
  <si>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</si>
  <si>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</si>
  <si>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</si>
  <si>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</si>
  <si>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</si>
  <si>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</si>
  <si>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</si>
  <si>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</si>
  <si>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</si>
  <si>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</si>
  <si>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</si>
  <si>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</si>
  <si>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</si>
  <si>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</si>
  <si>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</si>
  <si>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</si>
  <si>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</si>
  <si>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</si>
  <si>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</si>
  <si>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</si>
  <si>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</si>
  <si>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</si>
  <si>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</si>
  <si>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</si>
  <si>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</si>
  <si>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</si>
  <si>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</si>
  <si>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</si>
  <si>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</si>
  <si>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</si>
  <si>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</si>
  <si>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</si>
  <si>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</si>
  <si>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f</t>
  </si>
  <si>
    <t>Sin homicidios</t>
  </si>
  <si>
    <t>Con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</si>
</sst>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</numFmts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0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8" xfId="0" applyNumberFormat="1" applyFont="1" applyBorder="1"/>
    <xf numFmtId="2" fontId="22" fillId="0" borderId="7" xfId="0" applyNumberFormat="1" applyFon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72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0" fillId="0" borderId="5" xfId="0" applyNumberFormat="1" applyFont="1" applyBorder="1"/>
    <xf numFmtId="2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27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164" fontId="22" fillId="8" borderId="7" xfId="0" applyNumberFormat="1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164" fontId="22" fillId="10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0" fillId="0" borderId="0" xfId="0" quotePrefix="1"/>
    <xf numFmtId="0" fontId="20" fillId="0" borderId="28" xfId="0" applyFont="1" applyBorder="1"/>
    <xf numFmtId="11" fontId="0" fillId="13" borderId="0" xfId="0" quotePrefix="1" applyNumberFormat="1" applyFill="1"/>
    <xf numFmtId="11" fontId="0" fillId="10" borderId="0" xfId="0" quotePrefix="1" applyNumberFormat="1" applyFill="1"/>
    <xf numFmtId="0" fontId="22" fillId="0" borderId="7" xfId="0" applyNumberFormat="1" applyFont="1" applyBorder="1" applyAlignment="1">
      <alignment horizontal="center"/>
    </xf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</cellXfs>
  <cellStyles count="6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1.0563400000000001E-2</c:v>
                </c:pt>
                <c:pt idx="1">
                  <c:v>1.8483999999999723E-3</c:v>
                </c:pt>
                <c:pt idx="2">
                  <c:v>9.548000000000334E-4</c:v>
                </c:pt>
                <c:pt idx="3">
                  <c:v>1.1244000000000254E-3</c:v>
                </c:pt>
                <c:pt idx="4">
                  <c:v>2.2366999999999804E-3</c:v>
                </c:pt>
                <c:pt idx="5">
                  <c:v>2.8179000000000398E-3</c:v>
                </c:pt>
                <c:pt idx="6">
                  <c:v>3.5515999999999881E-3</c:v>
                </c:pt>
                <c:pt idx="7">
                  <c:v>4.0225000000000399E-3</c:v>
                </c:pt>
                <c:pt idx="8">
                  <c:v>5.5191999999999464E-3</c:v>
                </c:pt>
                <c:pt idx="9">
                  <c:v>8.0242000000000369E-3</c:v>
                </c:pt>
                <c:pt idx="10">
                  <c:v>1.3963500000000018E-2</c:v>
                </c:pt>
                <c:pt idx="11">
                  <c:v>2.0913199999999965E-2</c:v>
                </c:pt>
                <c:pt idx="12">
                  <c:v>3.4207100000000046E-2</c:v>
                </c:pt>
                <c:pt idx="13">
                  <c:v>5.2850500000000022E-2</c:v>
                </c:pt>
                <c:pt idx="14">
                  <c:v>7.9014600000000046E-2</c:v>
                </c:pt>
                <c:pt idx="15">
                  <c:v>0.11097760000000001</c:v>
                </c:pt>
                <c:pt idx="16">
                  <c:v>0.16777549999999997</c:v>
                </c:pt>
                <c:pt idx="17">
                  <c:v>0.26916580000000001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1.0495412985572883E-2</c:v>
                </c:pt>
                <c:pt idx="1">
                  <c:v>1.7805600788100007E-3</c:v>
                </c:pt>
                <c:pt idx="2">
                  <c:v>9.1238380922864515E-4</c:v>
                </c:pt>
                <c:pt idx="3">
                  <c:v>1.0575068301583723E-3</c:v>
                </c:pt>
                <c:pt idx="4">
                  <c:v>2.015209855677047E-3</c:v>
                </c:pt>
                <c:pt idx="5">
                  <c:v>2.3884526495955294E-3</c:v>
                </c:pt>
                <c:pt idx="6">
                  <c:v>3.1344202725249737E-3</c:v>
                </c:pt>
                <c:pt idx="7">
                  <c:v>3.6699187090762919E-3</c:v>
                </c:pt>
                <c:pt idx="8">
                  <c:v>5.2120986946786463E-3</c:v>
                </c:pt>
                <c:pt idx="9">
                  <c:v>7.6981079005502551E-3</c:v>
                </c:pt>
                <c:pt idx="10">
                  <c:v>1.3803337745113553E-2</c:v>
                </c:pt>
                <c:pt idx="11">
                  <c:v>2.0786000854016939E-2</c:v>
                </c:pt>
                <c:pt idx="12">
                  <c:v>3.3889256485335806E-2</c:v>
                </c:pt>
                <c:pt idx="13">
                  <c:v>5.2684878082300934E-2</c:v>
                </c:pt>
                <c:pt idx="14">
                  <c:v>7.8933148837987743E-2</c:v>
                </c:pt>
                <c:pt idx="15">
                  <c:v>0.11081661328228054</c:v>
                </c:pt>
                <c:pt idx="16">
                  <c:v>0.16759204175773579</c:v>
                </c:pt>
                <c:pt idx="17">
                  <c:v>0.26890216067286488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1.3554500000000025E-2</c:v>
                </c:pt>
                <c:pt idx="1">
                  <c:v>1.9263999999999948E-3</c:v>
                </c:pt>
                <c:pt idx="2">
                  <c:v>1.1421000000000348E-3</c:v>
                </c:pt>
                <c:pt idx="3">
                  <c:v>1.333899999999999E-3</c:v>
                </c:pt>
                <c:pt idx="4">
                  <c:v>2.3859000000000519E-3</c:v>
                </c:pt>
                <c:pt idx="5">
                  <c:v>2.7838999999999503E-3</c:v>
                </c:pt>
                <c:pt idx="6">
                  <c:v>2.8348000000000262E-3</c:v>
                </c:pt>
                <c:pt idx="7">
                  <c:v>3.4750999999999532E-3</c:v>
                </c:pt>
                <c:pt idx="8">
                  <c:v>5.236699999999983E-3</c:v>
                </c:pt>
                <c:pt idx="9">
                  <c:v>8.0563999999999636E-3</c:v>
                </c:pt>
                <c:pt idx="10">
                  <c:v>1.4205800000000046E-2</c:v>
                </c:pt>
                <c:pt idx="11">
                  <c:v>2.2486000000000006E-2</c:v>
                </c:pt>
                <c:pt idx="12">
                  <c:v>3.6479700000000004E-2</c:v>
                </c:pt>
                <c:pt idx="13">
                  <c:v>5.8014299999999963E-2</c:v>
                </c:pt>
                <c:pt idx="14">
                  <c:v>7.8838500000000034E-2</c:v>
                </c:pt>
                <c:pt idx="15">
                  <c:v>0.12054770000000004</c:v>
                </c:pt>
                <c:pt idx="16">
                  <c:v>0.19332139999999998</c:v>
                </c:pt>
                <c:pt idx="17">
                  <c:v>0.29846790000000001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1.3508578908841051E-2</c:v>
                </c:pt>
                <c:pt idx="1">
                  <c:v>1.8281452057969938E-3</c:v>
                </c:pt>
                <c:pt idx="2">
                  <c:v>1.0645912947176983E-3</c:v>
                </c:pt>
                <c:pt idx="3">
                  <c:v>1.2132086784009122E-3</c:v>
                </c:pt>
                <c:pt idx="4">
                  <c:v>1.8445951333159183E-3</c:v>
                </c:pt>
                <c:pt idx="5">
                  <c:v>2.0770883840448562E-3</c:v>
                </c:pt>
                <c:pt idx="6">
                  <c:v>2.092628555432019E-3</c:v>
                </c:pt>
                <c:pt idx="7">
                  <c:v>2.6176455011053257E-3</c:v>
                </c:pt>
                <c:pt idx="8">
                  <c:v>4.353278765016011E-3</c:v>
                </c:pt>
                <c:pt idx="9">
                  <c:v>7.0483090130423198E-3</c:v>
                </c:pt>
                <c:pt idx="10">
                  <c:v>1.3193169382169745E-2</c:v>
                </c:pt>
                <c:pt idx="11">
                  <c:v>2.1519520768914835E-2</c:v>
                </c:pt>
                <c:pt idx="12">
                  <c:v>3.5603393343846101E-2</c:v>
                </c:pt>
                <c:pt idx="13">
                  <c:v>5.6992931636651312E-2</c:v>
                </c:pt>
                <c:pt idx="14">
                  <c:v>7.8093588101110667E-2</c:v>
                </c:pt>
                <c:pt idx="15">
                  <c:v>0.1198557190283982</c:v>
                </c:pt>
                <c:pt idx="16">
                  <c:v>0.19280321030636915</c:v>
                </c:pt>
                <c:pt idx="17">
                  <c:v>0.29797022889033631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78.197163235194864</c:v>
                </c:pt>
                <c:pt idx="1">
                  <c:v>79.056534203235728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77.764304999999993</c:v>
                </c:pt>
                <c:pt idx="1">
                  <c:v>78.854511000000002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688976</xdr:colOff>
      <xdr:row>2</xdr:row>
      <xdr:rowOff>24955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97500" y="89058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0" y="89106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23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170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6700" y="89106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982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17550" y="89058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368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27700" y="89058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21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2975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01300" y="467836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23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467360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24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32550" y="467836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25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41680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26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236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27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68350" y="466090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28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622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91200" y="466090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514560</xdr:colOff>
      <xdr:row>31</xdr:row>
      <xdr:rowOff>91440</xdr:rowOff>
    </xdr:from>
    <xdr:to>
      <xdr:col>32</xdr:col>
      <xdr:colOff>744220</xdr:colOff>
      <xdr:row>47</xdr:row>
      <xdr:rowOff>33021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77734375" defaultRowHeight="15.6" x14ac:dyDescent="0.3"/>
  <cols>
    <col min="1" max="1" width="4" customWidth="1"/>
    <col min="2" max="2" width="75.109375" customWidth="1"/>
    <col min="3" max="3" width="27.77734375" style="7" customWidth="1"/>
    <col min="4" max="5" width="8.44140625" style="7" customWidth="1"/>
    <col min="6" max="6" width="8.77734375" style="7" customWidth="1"/>
  </cols>
  <sheetData>
    <row r="1" spans="1:6" ht="41.25" customHeight="1" x14ac:dyDescent="0.3">
      <c r="A1" s="156" t="s">
        <v>78</v>
      </c>
      <c r="B1" s="157"/>
    </row>
    <row r="3" spans="1:6" x14ac:dyDescent="0.3">
      <c r="A3" s="11" t="s">
        <v>67</v>
      </c>
      <c r="B3" s="11"/>
    </row>
    <row r="4" spans="1:6" x14ac:dyDescent="0.3">
      <c r="A4" s="165" t="s">
        <v>91</v>
      </c>
      <c r="B4" s="166"/>
      <c r="C4" s="18"/>
    </row>
    <row r="5" spans="1:6" x14ac:dyDescent="0.3">
      <c r="A5" s="1"/>
      <c r="B5" s="2"/>
    </row>
    <row r="6" spans="1:6" ht="50.25" customHeight="1" x14ac:dyDescent="0.3">
      <c r="A6" s="158" t="s">
        <v>69</v>
      </c>
      <c r="B6" s="158"/>
    </row>
    <row r="7" spans="1:6" x14ac:dyDescent="0.3">
      <c r="A7" s="1"/>
      <c r="B7" s="2"/>
    </row>
    <row r="8" spans="1:6" ht="16.2" thickBot="1" x14ac:dyDescent="0.35">
      <c r="A8" s="3" t="s">
        <v>68</v>
      </c>
      <c r="B8" s="2"/>
    </row>
    <row r="9" spans="1:6" x14ac:dyDescent="0.3">
      <c r="A9" s="4">
        <v>1</v>
      </c>
      <c r="B9" s="5" t="s">
        <v>70</v>
      </c>
      <c r="C9" s="8" t="s">
        <v>50</v>
      </c>
      <c r="D9" s="146" t="s">
        <v>94</v>
      </c>
      <c r="E9" s="146"/>
      <c r="F9" s="147" t="s">
        <v>66</v>
      </c>
    </row>
    <row r="10" spans="1:6" x14ac:dyDescent="0.3">
      <c r="A10" s="6"/>
      <c r="B10" s="2"/>
      <c r="C10" s="9"/>
      <c r="D10" s="148"/>
      <c r="E10" s="148"/>
      <c r="F10" s="149"/>
    </row>
    <row r="11" spans="1:6" ht="16.2" thickBot="1" x14ac:dyDescent="0.35">
      <c r="A11" s="2">
        <v>2</v>
      </c>
      <c r="B11" s="2" t="s">
        <v>71</v>
      </c>
      <c r="C11" s="10" t="s">
        <v>49</v>
      </c>
      <c r="D11" s="150">
        <v>43891</v>
      </c>
      <c r="E11" s="150"/>
      <c r="F11" s="151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77</v>
      </c>
      <c r="C14" s="12" t="s">
        <v>73</v>
      </c>
      <c r="D14" s="152" t="s">
        <v>26</v>
      </c>
      <c r="E14" s="152"/>
      <c r="F14" s="153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72</v>
      </c>
      <c r="C17" s="8" t="s">
        <v>74</v>
      </c>
      <c r="D17" s="154" t="s">
        <v>7</v>
      </c>
      <c r="E17" s="154"/>
      <c r="F17" s="155"/>
    </row>
    <row r="18" spans="1:6" x14ac:dyDescent="0.3">
      <c r="C18" s="9" t="s">
        <v>75</v>
      </c>
      <c r="D18" s="159" t="s">
        <v>44</v>
      </c>
      <c r="E18" s="159"/>
      <c r="F18" s="160"/>
    </row>
    <row r="19" spans="1:6" ht="7.5" customHeight="1" x14ac:dyDescent="0.3">
      <c r="C19" s="13"/>
      <c r="F19" s="17"/>
    </row>
    <row r="20" spans="1:6" x14ac:dyDescent="0.3">
      <c r="C20" s="15" t="s">
        <v>54</v>
      </c>
      <c r="D20" s="163" t="s">
        <v>57</v>
      </c>
      <c r="E20" s="163"/>
      <c r="F20" s="164"/>
    </row>
    <row r="21" spans="1:6" ht="16.2" thickBot="1" x14ac:dyDescent="0.35">
      <c r="C21" s="16" t="s">
        <v>61</v>
      </c>
      <c r="D21" s="161">
        <v>28</v>
      </c>
      <c r="E21" s="161"/>
      <c r="F21" s="162"/>
    </row>
    <row r="23" spans="1:6" ht="30.75" customHeight="1" x14ac:dyDescent="0.3">
      <c r="A23" s="25">
        <v>5</v>
      </c>
      <c r="B23" s="2" t="s">
        <v>92</v>
      </c>
      <c r="C23" s="145" t="str">
        <f>IF(ISNA(VLOOKUP(VALUE(RIGHT(Coefficients!AM5,3)),Coefficients!$AI$34:$AI$50,1,FALSE)),"INVALID SELECTION - Please ensure that your choice of variant; family and pattern are consistent.","")</f>
        <v/>
      </c>
      <c r="D23" s="145"/>
      <c r="E23" s="145"/>
      <c r="F23" s="145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5">
        <v>6</v>
      </c>
      <c r="B25" s="2" t="s">
        <v>93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79</v>
      </c>
      <c r="B27" s="2"/>
    </row>
    <row r="28" spans="1:6" ht="31.2" x14ac:dyDescent="0.3">
      <c r="A28" s="1"/>
      <c r="B28" s="2" t="s">
        <v>80</v>
      </c>
    </row>
    <row r="29" spans="1:6" ht="31.2" x14ac:dyDescent="0.3">
      <c r="A29" s="1"/>
      <c r="B29" s="2" t="s">
        <v>81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09375" defaultRowHeight="12.75" customHeight="1" x14ac:dyDescent="0.25"/>
  <cols>
    <col min="1" max="1" width="8.44140625" style="20" customWidth="1"/>
    <col min="2" max="2" width="3" style="20" bestFit="1" customWidth="1"/>
    <col min="3" max="6" width="8.44140625" style="20" customWidth="1"/>
    <col min="7" max="7" width="1.44140625" style="20" customWidth="1"/>
    <col min="8" max="10" width="8.44140625" style="20" customWidth="1"/>
    <col min="11" max="11" width="2.77734375" style="20" customWidth="1"/>
    <col min="12" max="12" width="8.44140625" style="20" bestFit="1" customWidth="1"/>
    <col min="13" max="13" width="3" style="20" bestFit="1" customWidth="1"/>
    <col min="14" max="16" width="8.44140625" style="20" customWidth="1"/>
    <col min="17" max="18" width="1.44140625" style="20" customWidth="1"/>
    <col min="19" max="21" width="8.44140625" style="20" customWidth="1"/>
    <col min="22" max="22" width="2.77734375" style="20" customWidth="1"/>
    <col min="23" max="23" width="8.44140625" style="20" bestFit="1" customWidth="1"/>
    <col min="24" max="24" width="3" style="20" bestFit="1" customWidth="1"/>
    <col min="25" max="27" width="8.44140625" style="20" customWidth="1"/>
    <col min="28" max="29" width="1.44140625" style="20" customWidth="1"/>
    <col min="30" max="32" width="8.44140625" style="20" customWidth="1"/>
    <col min="33" max="33" width="9.109375" style="20"/>
    <col min="34" max="34" width="3.109375" style="20" customWidth="1"/>
    <col min="35" max="35" width="22.77734375" style="20" bestFit="1" customWidth="1"/>
    <col min="36" max="36" width="9.109375" style="20"/>
    <col min="37" max="37" width="3.109375" style="20" customWidth="1"/>
    <col min="38" max="38" width="2" style="20" bestFit="1" customWidth="1"/>
    <col min="39" max="39" width="8.109375" style="20" customWidth="1"/>
    <col min="40" max="40" width="8.7773437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4" customFormat="1" ht="15" customHeight="1" x14ac:dyDescent="0.25">
      <c r="A1" s="167" t="s">
        <v>27</v>
      </c>
      <c r="B1" s="167"/>
      <c r="C1" s="167"/>
      <c r="D1" s="167"/>
      <c r="E1" s="167"/>
      <c r="F1" s="167"/>
      <c r="G1" s="167"/>
      <c r="H1" s="167"/>
      <c r="I1" s="167"/>
      <c r="J1" s="167"/>
      <c r="L1" s="167" t="s">
        <v>83</v>
      </c>
      <c r="M1" s="167"/>
      <c r="N1" s="167"/>
      <c r="O1" s="167"/>
      <c r="P1" s="167"/>
      <c r="Q1" s="167"/>
      <c r="R1" s="167"/>
      <c r="S1" s="167"/>
      <c r="T1" s="167"/>
      <c r="U1" s="167"/>
      <c r="W1" s="167" t="s">
        <v>84</v>
      </c>
      <c r="X1" s="167"/>
      <c r="Y1" s="167"/>
      <c r="Z1" s="167"/>
      <c r="AA1" s="167"/>
      <c r="AB1" s="167"/>
      <c r="AC1" s="167"/>
      <c r="AD1" s="167"/>
      <c r="AE1" s="167"/>
      <c r="AF1" s="167"/>
    </row>
    <row r="2" spans="1:48" s="24" customFormat="1" ht="15" customHeight="1" x14ac:dyDescent="0.25"/>
    <row r="3" spans="1:48" s="24" customFormat="1" ht="15" customHeight="1" x14ac:dyDescent="0.25">
      <c r="C3" s="167" t="s">
        <v>15</v>
      </c>
      <c r="D3" s="167"/>
      <c r="E3" s="167"/>
      <c r="H3" s="167" t="s">
        <v>16</v>
      </c>
      <c r="I3" s="167"/>
      <c r="J3" s="167"/>
      <c r="N3" s="167" t="s">
        <v>15</v>
      </c>
      <c r="O3" s="167"/>
      <c r="P3" s="167"/>
      <c r="S3" s="167" t="s">
        <v>16</v>
      </c>
      <c r="T3" s="167"/>
      <c r="U3" s="167"/>
      <c r="Y3" s="167" t="s">
        <v>15</v>
      </c>
      <c r="Z3" s="167"/>
      <c r="AA3" s="167"/>
      <c r="AD3" s="167" t="s">
        <v>16</v>
      </c>
      <c r="AE3" s="167"/>
      <c r="AF3" s="167"/>
    </row>
    <row r="4" spans="1:48" s="24" customFormat="1" ht="15" customHeight="1" x14ac:dyDescent="0.25">
      <c r="A4" s="167" t="s">
        <v>17</v>
      </c>
      <c r="B4" s="167"/>
      <c r="C4" s="167"/>
      <c r="D4" s="167"/>
      <c r="E4" s="167"/>
      <c r="F4" s="167"/>
      <c r="G4" s="167"/>
      <c r="H4" s="167"/>
      <c r="I4" s="167"/>
      <c r="J4" s="168"/>
      <c r="L4" s="34"/>
      <c r="M4" s="47"/>
      <c r="N4" s="170" t="s">
        <v>17</v>
      </c>
      <c r="O4" s="170"/>
      <c r="P4" s="170"/>
      <c r="Q4" s="170"/>
      <c r="R4" s="170"/>
      <c r="S4" s="170"/>
      <c r="T4" s="170"/>
      <c r="U4" s="171"/>
      <c r="W4" s="34"/>
      <c r="X4" s="47"/>
      <c r="Y4" s="170" t="s">
        <v>17</v>
      </c>
      <c r="Z4" s="170"/>
      <c r="AA4" s="170"/>
      <c r="AB4" s="170"/>
      <c r="AC4" s="170"/>
      <c r="AD4" s="170"/>
      <c r="AE4" s="170"/>
      <c r="AF4" s="171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25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69" t="str">
        <f>Introduction!D9&amp;" "&amp;TEXT(YEAR(Introduction!D11),"####")</f>
        <v>México 2020</v>
      </c>
      <c r="AI5" s="169"/>
      <c r="AJ5" s="169"/>
      <c r="AL5" s="20"/>
      <c r="AM5" s="167" t="str">
        <f>"Coeffs_"&amp;TEXT(100*AJ8+10*AJ12+AJ23,0)</f>
        <v>Coeffs_141</v>
      </c>
      <c r="AN5" s="167"/>
      <c r="AO5" s="167"/>
      <c r="AP5" s="167"/>
      <c r="AQ5" s="167"/>
      <c r="AR5" s="167"/>
      <c r="AS5" s="167"/>
      <c r="AT5" s="167"/>
      <c r="AU5" s="167"/>
      <c r="AV5" s="167"/>
    </row>
    <row r="6" spans="1:48" ht="12.75" customHeight="1" x14ac:dyDescent="0.25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5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5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5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5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5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5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5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5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25">
      <c r="A15" s="167" t="s">
        <v>18</v>
      </c>
      <c r="B15" s="167"/>
      <c r="C15" s="167"/>
      <c r="D15" s="167"/>
      <c r="E15" s="167"/>
      <c r="F15" s="167"/>
      <c r="G15" s="167"/>
      <c r="H15" s="167"/>
      <c r="I15" s="167"/>
      <c r="J15" s="168"/>
      <c r="K15" s="24"/>
      <c r="L15" s="35"/>
      <c r="M15" s="24"/>
      <c r="N15" s="167" t="s">
        <v>18</v>
      </c>
      <c r="O15" s="167"/>
      <c r="P15" s="167"/>
      <c r="Q15" s="167"/>
      <c r="R15" s="167"/>
      <c r="S15" s="167"/>
      <c r="T15" s="167"/>
      <c r="U15" s="168"/>
      <c r="V15" s="24"/>
      <c r="W15" s="35"/>
      <c r="X15" s="24"/>
      <c r="Y15" s="167" t="s">
        <v>18</v>
      </c>
      <c r="Z15" s="167"/>
      <c r="AA15" s="167"/>
      <c r="AB15" s="167"/>
      <c r="AC15" s="167"/>
      <c r="AD15" s="167"/>
      <c r="AE15" s="167"/>
      <c r="AF15" s="168"/>
      <c r="AG15" s="23"/>
      <c r="AH15" s="54"/>
      <c r="AI15" s="56" t="s">
        <v>43</v>
      </c>
      <c r="AJ15" s="54"/>
      <c r="AM15" s="167" t="s">
        <v>65</v>
      </c>
      <c r="AN15" s="167"/>
      <c r="AO15" s="24"/>
      <c r="AP15" s="28"/>
      <c r="AQ15" s="28"/>
      <c r="AR15" s="28"/>
      <c r="AS15" s="28"/>
      <c r="AT15" s="28"/>
    </row>
    <row r="16" spans="1:48" ht="12.75" customHeight="1" x14ac:dyDescent="0.25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5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5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5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5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5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5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5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5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5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25">
      <c r="A26" s="167" t="s">
        <v>19</v>
      </c>
      <c r="B26" s="167"/>
      <c r="C26" s="167"/>
      <c r="D26" s="167"/>
      <c r="E26" s="167"/>
      <c r="F26" s="167"/>
      <c r="G26" s="167"/>
      <c r="H26" s="167"/>
      <c r="I26" s="167"/>
      <c r="J26" s="168"/>
      <c r="K26" s="24"/>
      <c r="L26" s="35"/>
      <c r="M26" s="24"/>
      <c r="N26" s="167" t="s">
        <v>19</v>
      </c>
      <c r="O26" s="167"/>
      <c r="P26" s="167"/>
      <c r="Q26" s="167"/>
      <c r="R26" s="167"/>
      <c r="S26" s="167"/>
      <c r="T26" s="167"/>
      <c r="U26" s="168"/>
      <c r="V26" s="24"/>
      <c r="W26" s="35"/>
      <c r="X26" s="24"/>
      <c r="Y26" s="167" t="s">
        <v>19</v>
      </c>
      <c r="Z26" s="167"/>
      <c r="AA26" s="167"/>
      <c r="AB26" s="167"/>
      <c r="AC26" s="167"/>
      <c r="AD26" s="167"/>
      <c r="AE26" s="167"/>
      <c r="AF26" s="168"/>
      <c r="AH26" s="54"/>
      <c r="AI26" s="57" t="s">
        <v>36</v>
      </c>
      <c r="AJ26" s="54"/>
    </row>
    <row r="27" spans="1:46" ht="12.75" customHeight="1" x14ac:dyDescent="0.25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5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5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5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5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5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5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5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5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5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25">
      <c r="A37" s="167" t="s">
        <v>20</v>
      </c>
      <c r="B37" s="167"/>
      <c r="C37" s="167"/>
      <c r="D37" s="167"/>
      <c r="E37" s="167"/>
      <c r="F37" s="167"/>
      <c r="G37" s="167"/>
      <c r="H37" s="167"/>
      <c r="I37" s="167"/>
      <c r="J37" s="168"/>
      <c r="K37" s="24"/>
      <c r="L37" s="35"/>
      <c r="M37" s="24"/>
      <c r="N37" s="167" t="s">
        <v>20</v>
      </c>
      <c r="O37" s="167"/>
      <c r="P37" s="167"/>
      <c r="Q37" s="167"/>
      <c r="R37" s="167"/>
      <c r="S37" s="167"/>
      <c r="T37" s="167"/>
      <c r="U37" s="168"/>
      <c r="V37" s="24"/>
      <c r="W37" s="35"/>
      <c r="X37" s="24"/>
      <c r="Y37" s="167" t="s">
        <v>20</v>
      </c>
      <c r="Z37" s="167"/>
      <c r="AA37" s="167"/>
      <c r="AB37" s="167"/>
      <c r="AC37" s="167"/>
      <c r="AD37" s="167"/>
      <c r="AE37" s="167"/>
      <c r="AF37" s="168"/>
      <c r="AH37" s="54"/>
      <c r="AI37" s="56">
        <v>141</v>
      </c>
      <c r="AJ37" s="54"/>
    </row>
    <row r="38" spans="1:36" ht="12.75" customHeight="1" x14ac:dyDescent="0.25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5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5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5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5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5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5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5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5">
      <c r="A46" s="36"/>
      <c r="J46" s="42"/>
      <c r="AH46" s="54"/>
      <c r="AI46" s="56">
        <v>142</v>
      </c>
      <c r="AJ46" s="54"/>
    </row>
    <row r="47" spans="1:36" ht="12.75" customHeight="1" x14ac:dyDescent="0.25">
      <c r="A47" s="36"/>
      <c r="J47" s="42"/>
      <c r="AH47" s="54"/>
      <c r="AI47" s="56">
        <v>113</v>
      </c>
      <c r="AJ47" s="54"/>
    </row>
    <row r="48" spans="1:36" ht="12.75" customHeight="1" x14ac:dyDescent="0.25">
      <c r="A48" s="167" t="s">
        <v>21</v>
      </c>
      <c r="B48" s="167"/>
      <c r="C48" s="167"/>
      <c r="D48" s="167"/>
      <c r="E48" s="167"/>
      <c r="F48" s="167"/>
      <c r="G48" s="167"/>
      <c r="H48" s="167"/>
      <c r="I48" s="167"/>
      <c r="J48" s="168"/>
      <c r="AH48" s="54"/>
      <c r="AI48" s="56">
        <v>123</v>
      </c>
      <c r="AJ48" s="54"/>
    </row>
    <row r="49" spans="1:36" ht="12.75" customHeight="1" x14ac:dyDescent="0.25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5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5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5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5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5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5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5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5">
      <c r="A57" s="36"/>
      <c r="J57" s="42"/>
    </row>
    <row r="58" spans="1:36" ht="12.75" customHeight="1" x14ac:dyDescent="0.25">
      <c r="A58" s="36"/>
      <c r="J58" s="42"/>
    </row>
    <row r="59" spans="1:36" ht="12.75" customHeight="1" x14ac:dyDescent="0.25">
      <c r="A59" s="167" t="s">
        <v>22</v>
      </c>
      <c r="B59" s="167"/>
      <c r="C59" s="167" t="s">
        <v>22</v>
      </c>
      <c r="D59" s="167"/>
      <c r="E59" s="167"/>
      <c r="F59" s="167"/>
      <c r="G59" s="167"/>
      <c r="H59" s="167"/>
      <c r="I59" s="167"/>
      <c r="J59" s="168"/>
    </row>
    <row r="60" spans="1:36" ht="12.75" customHeight="1" x14ac:dyDescent="0.25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5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5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5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5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5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5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5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5">
      <c r="A68" s="36"/>
      <c r="J68" s="42"/>
    </row>
    <row r="69" spans="1:10" ht="12.75" customHeight="1" x14ac:dyDescent="0.25">
      <c r="A69" s="36"/>
      <c r="J69" s="42"/>
    </row>
    <row r="70" spans="1:10" ht="12.75" customHeight="1" x14ac:dyDescent="0.25">
      <c r="A70" s="167" t="s">
        <v>23</v>
      </c>
      <c r="B70" s="167"/>
      <c r="C70" s="167"/>
      <c r="D70" s="167"/>
      <c r="E70" s="167"/>
      <c r="F70" s="167"/>
      <c r="G70" s="167"/>
      <c r="H70" s="167"/>
      <c r="I70" s="167"/>
      <c r="J70" s="168"/>
    </row>
    <row r="71" spans="1:10" ht="12.75" customHeight="1" x14ac:dyDescent="0.25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5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5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5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5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5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5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5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5">
      <c r="A79" s="36"/>
      <c r="J79" s="42"/>
    </row>
    <row r="80" spans="1:10" ht="12.75" customHeight="1" x14ac:dyDescent="0.25">
      <c r="A80" s="36"/>
      <c r="J80" s="42"/>
    </row>
    <row r="81" spans="1:10" ht="12.75" customHeight="1" x14ac:dyDescent="0.25">
      <c r="A81" s="167" t="s">
        <v>24</v>
      </c>
      <c r="B81" s="167"/>
      <c r="C81" s="167"/>
      <c r="D81" s="167"/>
      <c r="E81" s="167"/>
      <c r="F81" s="167"/>
      <c r="G81" s="167"/>
      <c r="H81" s="167"/>
      <c r="I81" s="167"/>
      <c r="J81" s="168"/>
    </row>
    <row r="82" spans="1:10" ht="12.75" customHeight="1" x14ac:dyDescent="0.25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5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5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5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5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5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5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5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5">
      <c r="A90" s="36"/>
      <c r="J90" s="42"/>
    </row>
    <row r="91" spans="1:10" ht="12.75" customHeight="1" x14ac:dyDescent="0.25">
      <c r="A91" s="36"/>
      <c r="J91" s="42"/>
    </row>
    <row r="92" spans="1:10" ht="12.75" customHeight="1" x14ac:dyDescent="0.25">
      <c r="A92" s="167" t="s">
        <v>25</v>
      </c>
      <c r="B92" s="167"/>
      <c r="C92" s="167"/>
      <c r="D92" s="167"/>
      <c r="E92" s="167"/>
      <c r="F92" s="167"/>
      <c r="G92" s="167"/>
      <c r="H92" s="167"/>
      <c r="I92" s="167"/>
      <c r="J92" s="168"/>
    </row>
    <row r="93" spans="1:10" ht="12.75" customHeight="1" x14ac:dyDescent="0.25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5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5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5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5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5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5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5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5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52</v>
      </c>
      <c r="B1" s="20" t="s">
        <v>89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3.8" x14ac:dyDescent="0.25">
      <c r="B3" s="167" t="s">
        <v>32</v>
      </c>
      <c r="C3" s="167"/>
      <c r="D3" s="167"/>
      <c r="E3" s="167" t="s">
        <v>37</v>
      </c>
      <c r="F3" s="167"/>
      <c r="G3" s="167"/>
      <c r="H3" s="167" t="s">
        <v>38</v>
      </c>
      <c r="I3" s="167"/>
      <c r="J3" s="167"/>
      <c r="K3" s="167" t="s">
        <v>39</v>
      </c>
      <c r="L3" s="167"/>
      <c r="M3" s="167"/>
      <c r="N3" s="167" t="s">
        <v>62</v>
      </c>
      <c r="O3" s="167"/>
      <c r="P3" s="167"/>
      <c r="Q3" s="167" t="s">
        <v>63</v>
      </c>
      <c r="R3" s="167"/>
      <c r="S3" s="167"/>
      <c r="T3" s="167" t="s">
        <v>33</v>
      </c>
      <c r="U3" s="167"/>
      <c r="V3" s="167"/>
      <c r="W3" s="167" t="s">
        <v>64</v>
      </c>
      <c r="X3" s="167"/>
      <c r="Y3" s="167"/>
      <c r="Z3" s="167" t="s">
        <v>34</v>
      </c>
      <c r="AA3" s="167"/>
      <c r="AB3" s="167"/>
    </row>
    <row r="4" spans="1:28" s="24" customFormat="1" ht="13.8" x14ac:dyDescent="0.25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5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5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5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5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5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5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5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5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5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rgb="FF00B050"/>
    <outlinePr summaryBelow="0" summaryRight="0"/>
  </sheetPr>
  <dimension ref="B2:AB45"/>
  <sheetViews>
    <sheetView showGridLines="0" tabSelected="1" topLeftCell="U19" zoomScaleNormal="60" workbookViewId="0">
      <selection activeCell="AB31" sqref="AB31"/>
    </sheetView>
  </sheetViews>
  <sheetFormatPr baseColWidth="10" defaultColWidth="14.44140625" defaultRowHeight="15" customHeight="1" x14ac:dyDescent="0.3"/>
  <cols>
    <col min="1" max="1" width="6.77734375" customWidth="1"/>
    <col min="17" max="17" width="15.77734375" bestFit="1" customWidth="1"/>
    <col min="21" max="21" width="3.33203125" customWidth="1"/>
    <col min="22" max="23" width="16.44140625" hidden="1" customWidth="1"/>
  </cols>
  <sheetData>
    <row r="2" spans="2:23" ht="15" customHeight="1" x14ac:dyDescent="0.3">
      <c r="B2" s="179" t="s">
        <v>114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</row>
    <row r="3" spans="2:23" ht="33" customHeight="1" x14ac:dyDescent="0.3">
      <c r="B3" s="113" t="s">
        <v>110</v>
      </c>
      <c r="C3" s="112" t="s">
        <v>109</v>
      </c>
      <c r="D3" s="112" t="s">
        <v>108</v>
      </c>
      <c r="E3" s="112" t="s">
        <v>107</v>
      </c>
      <c r="F3" s="111"/>
      <c r="G3" s="110"/>
      <c r="H3" s="110"/>
      <c r="I3" s="110" t="s">
        <v>106</v>
      </c>
      <c r="J3" s="110"/>
      <c r="K3" s="109" t="s">
        <v>105</v>
      </c>
      <c r="L3" s="110"/>
      <c r="M3" s="110" t="s">
        <v>104</v>
      </c>
      <c r="N3" s="110"/>
      <c r="O3" s="110" t="s">
        <v>103</v>
      </c>
      <c r="P3" s="110"/>
      <c r="Q3" s="110" t="s">
        <v>102</v>
      </c>
      <c r="R3" s="110" t="s">
        <v>101</v>
      </c>
      <c r="S3" s="109" t="s">
        <v>100</v>
      </c>
      <c r="T3" s="108" t="s">
        <v>99</v>
      </c>
    </row>
    <row r="4" spans="2:23" ht="15" customHeight="1" x14ac:dyDescent="0.3">
      <c r="B4" s="102">
        <v>0</v>
      </c>
      <c r="C4" s="101">
        <v>1</v>
      </c>
      <c r="D4" s="115">
        <f>'Defunciones generales'!D21</f>
        <v>1759</v>
      </c>
      <c r="E4" s="115">
        <f>Homicidios!D553</f>
        <v>6</v>
      </c>
      <c r="F4" s="96">
        <f>(D4-E4)/D4</f>
        <v>0.99658897100625354</v>
      </c>
      <c r="G4" s="117">
        <f>LT!H21</f>
        <v>100000</v>
      </c>
      <c r="H4" s="119">
        <f>1-LT!F21</f>
        <v>0.98644549999999998</v>
      </c>
      <c r="I4" s="100">
        <f>1-H4</f>
        <v>1.3554500000000025E-2</v>
      </c>
      <c r="J4" s="121">
        <f>LT!G21</f>
        <v>9.1425900000000004E-2</v>
      </c>
      <c r="K4" s="134">
        <f>LT!L21</f>
        <v>77.764304999999993</v>
      </c>
      <c r="L4" s="100">
        <f>H4^F4</f>
        <v>0.98649142109115895</v>
      </c>
      <c r="M4" s="99">
        <f t="shared" ref="M4:M21" si="0">1-L4</f>
        <v>1.3508578908841051E-2</v>
      </c>
      <c r="N4" s="97">
        <v>100000</v>
      </c>
      <c r="O4" s="98">
        <f t="shared" ref="O4:O21" si="1">N4*M4</f>
        <v>1350.857890884105</v>
      </c>
      <c r="P4" s="98">
        <f>C4+(F4*(I4/M4)*(J4-C4))</f>
        <v>9.1446999251937666E-2</v>
      </c>
      <c r="Q4" s="97">
        <f t="shared" ref="Q4:Q20" si="2">(C4*N5)+(P4*O4)</f>
        <v>98772.674009653056</v>
      </c>
      <c r="R4" s="97">
        <f t="shared" ref="R4:R21" si="3">R5+Q4</f>
        <v>7819716.3235194869</v>
      </c>
      <c r="S4" s="135">
        <f>R4/N4</f>
        <v>78.197163235194864</v>
      </c>
      <c r="T4" s="95">
        <f t="shared" ref="T4:T22" si="4">S4-K4</f>
        <v>0.4328582351948711</v>
      </c>
    </row>
    <row r="5" spans="2:23" ht="15" customHeight="1" x14ac:dyDescent="0.3">
      <c r="B5" s="102">
        <v>1</v>
      </c>
      <c r="C5" s="101">
        <v>4</v>
      </c>
      <c r="D5" s="115">
        <f>'Defunciones generales'!D22</f>
        <v>333</v>
      </c>
      <c r="E5" s="115">
        <f>Homicidios!D554</f>
        <v>17</v>
      </c>
      <c r="F5" s="96">
        <f t="shared" ref="F5:F22" si="5">(D5-E5)/D5</f>
        <v>0.94894894894894899</v>
      </c>
      <c r="G5" s="117">
        <f>LT!H22</f>
        <v>98644.55</v>
      </c>
      <c r="H5" s="119">
        <f>1-LT!F22</f>
        <v>0.99807360000000001</v>
      </c>
      <c r="I5" s="100">
        <f t="shared" ref="I5:I22" si="6">1-H5</f>
        <v>1.9263999999999948E-3</v>
      </c>
      <c r="J5" s="121">
        <f>LT!G22</f>
        <v>1.5428322999999999</v>
      </c>
      <c r="K5" s="122">
        <f>LT!L22</f>
        <v>77.831592000000001</v>
      </c>
      <c r="L5" s="100">
        <f>H5^F5</f>
        <v>0.99817185479420301</v>
      </c>
      <c r="M5" s="99">
        <f t="shared" si="0"/>
        <v>1.8281452057969938E-3</v>
      </c>
      <c r="N5" s="97">
        <f t="shared" ref="N5:N22" si="7">N4*L4</f>
        <v>98649.142109115899</v>
      </c>
      <c r="O5" s="98">
        <f t="shared" si="1"/>
        <v>180.34495620276658</v>
      </c>
      <c r="P5" s="98">
        <f>C5+(F5*(I5/M5)*(J5-C5))</f>
        <v>1.5429532004432844</v>
      </c>
      <c r="Q5" s="97">
        <f t="shared" si="2"/>
        <v>394153.45243900939</v>
      </c>
      <c r="R5" s="97">
        <f t="shared" si="3"/>
        <v>7720943.6495098341</v>
      </c>
      <c r="S5" s="96">
        <f t="shared" ref="S5:S22" si="8">R5/N5</f>
        <v>78.266708502844267</v>
      </c>
      <c r="T5" s="95">
        <f t="shared" si="4"/>
        <v>0.43511650284426651</v>
      </c>
      <c r="V5" s="172" t="s">
        <v>111</v>
      </c>
      <c r="W5" s="173"/>
    </row>
    <row r="6" spans="2:23" ht="15" customHeight="1" x14ac:dyDescent="0.3">
      <c r="B6" s="102">
        <v>5</v>
      </c>
      <c r="C6" s="101">
        <v>5</v>
      </c>
      <c r="D6" s="115">
        <f>'Defunciones generales'!D23</f>
        <v>162</v>
      </c>
      <c r="E6" s="115">
        <f>Homicidios!D555</f>
        <v>11</v>
      </c>
      <c r="F6" s="96">
        <f>(D6-E6)/D6</f>
        <v>0.9320987654320988</v>
      </c>
      <c r="G6" s="117">
        <f>LT!H23</f>
        <v>98454.51</v>
      </c>
      <c r="H6" s="119">
        <f>1-LT!F23</f>
        <v>0.99885789999999997</v>
      </c>
      <c r="I6" s="100">
        <f t="shared" si="6"/>
        <v>1.1421000000000348E-3</v>
      </c>
      <c r="J6" s="121">
        <f>LT!G23</f>
        <v>2.5</v>
      </c>
      <c r="K6" s="122">
        <f>LT!L23</f>
        <v>73.978842</v>
      </c>
      <c r="L6" s="100">
        <f t="shared" ref="L6:L21" si="9">H6^F6</f>
        <v>0.9989354087052823</v>
      </c>
      <c r="M6" s="99">
        <f t="shared" si="0"/>
        <v>1.0645912947176983E-3</v>
      </c>
      <c r="N6" s="97">
        <f>N5*L5</f>
        <v>98468.797152913132</v>
      </c>
      <c r="O6" s="98">
        <f t="shared" si="1"/>
        <v>104.82902425031419</v>
      </c>
      <c r="P6" s="98">
        <f>C6+(F6*(I6/M6)*(J6-C6))</f>
        <v>2.5000969731714666</v>
      </c>
      <c r="Q6" s="97">
        <f t="shared" si="2"/>
        <v>492081.92336954281</v>
      </c>
      <c r="R6" s="97">
        <f t="shared" si="3"/>
        <v>7326790.1970708249</v>
      </c>
      <c r="S6" s="96">
        <f t="shared" si="8"/>
        <v>74.407227557507198</v>
      </c>
      <c r="T6" s="95">
        <f t="shared" si="4"/>
        <v>0.4283855575071982</v>
      </c>
      <c r="V6" s="174"/>
      <c r="W6" s="175"/>
    </row>
    <row r="7" spans="2:23" ht="15" customHeight="1" x14ac:dyDescent="0.3">
      <c r="B7" s="102">
        <v>10</v>
      </c>
      <c r="C7" s="101">
        <v>5</v>
      </c>
      <c r="D7" s="115">
        <f>'Defunciones generales'!D24</f>
        <v>243</v>
      </c>
      <c r="E7" s="115">
        <f>Homicidios!D556</f>
        <v>22</v>
      </c>
      <c r="F7" s="96">
        <f t="shared" si="5"/>
        <v>0.90946502057613166</v>
      </c>
      <c r="G7" s="117">
        <f>LT!H24</f>
        <v>98342.07</v>
      </c>
      <c r="H7" s="119">
        <f>1-LT!F24</f>
        <v>0.9986661</v>
      </c>
      <c r="I7" s="100">
        <f t="shared" si="6"/>
        <v>1.333899999999999E-3</v>
      </c>
      <c r="J7" s="121">
        <f>LT!G24</f>
        <v>2.5</v>
      </c>
      <c r="K7" s="122">
        <f>LT!L24</f>
        <v>69.060569999999998</v>
      </c>
      <c r="L7" s="100">
        <f t="shared" si="9"/>
        <v>0.99878679132159909</v>
      </c>
      <c r="M7" s="99">
        <f t="shared" si="0"/>
        <v>1.2132086784009122E-3</v>
      </c>
      <c r="N7" s="97">
        <f t="shared" si="7"/>
        <v>98363.968128662818</v>
      </c>
      <c r="O7" s="98">
        <f t="shared" si="1"/>
        <v>119.33601977564446</v>
      </c>
      <c r="P7" s="100">
        <f t="shared" ref="P7:P20" si="10">(((-5/24)*O6)+((2.5)*O7)+((5/24)*O8))/O7</f>
        <v>2.6333638727221893</v>
      </c>
      <c r="Q7" s="97">
        <f t="shared" si="2"/>
        <v>491537.41570762754</v>
      </c>
      <c r="R7" s="97">
        <f t="shared" si="3"/>
        <v>6834708.2737012822</v>
      </c>
      <c r="S7" s="96">
        <f t="shared" si="8"/>
        <v>69.483860845887108</v>
      </c>
      <c r="T7" s="95">
        <f t="shared" si="4"/>
        <v>0.42329084588710941</v>
      </c>
      <c r="V7" s="176"/>
      <c r="W7" s="177"/>
    </row>
    <row r="8" spans="2:23" ht="15" customHeight="1" x14ac:dyDescent="0.3">
      <c r="B8" s="102">
        <v>15</v>
      </c>
      <c r="C8" s="101">
        <v>5</v>
      </c>
      <c r="D8" s="115">
        <f>'Defunciones generales'!D25</f>
        <v>731</v>
      </c>
      <c r="E8" s="115">
        <f>Homicidios!D557</f>
        <v>166</v>
      </c>
      <c r="F8" s="96">
        <f t="shared" si="5"/>
        <v>0.77291381668946646</v>
      </c>
      <c r="G8" s="117">
        <f>LT!H25</f>
        <v>98210.89</v>
      </c>
      <c r="H8" s="119">
        <f>1-LT!F25</f>
        <v>0.99761409999999995</v>
      </c>
      <c r="I8" s="100">
        <f t="shared" si="6"/>
        <v>2.3859000000000519E-3</v>
      </c>
      <c r="J8" s="121">
        <f>LT!G25</f>
        <v>2.5</v>
      </c>
      <c r="K8" s="122">
        <f>LT!L25</f>
        <v>64.149474999999995</v>
      </c>
      <c r="L8" s="100">
        <f t="shared" si="9"/>
        <v>0.99815540486668408</v>
      </c>
      <c r="M8" s="99">
        <f t="shared" si="0"/>
        <v>1.8445951333159183E-3</v>
      </c>
      <c r="N8" s="97">
        <f t="shared" si="7"/>
        <v>98244.632108887177</v>
      </c>
      <c r="O8" s="98">
        <f t="shared" si="1"/>
        <v>181.22157026246609</v>
      </c>
      <c r="P8" s="100">
        <f t="shared" si="10"/>
        <v>2.5969696366623984</v>
      </c>
      <c r="Q8" s="97">
        <f t="shared" si="2"/>
        <v>490787.67960860347</v>
      </c>
      <c r="R8" s="97">
        <f t="shared" si="3"/>
        <v>6343170.8579936549</v>
      </c>
      <c r="S8" s="96">
        <f t="shared" si="8"/>
        <v>64.565062964084873</v>
      </c>
      <c r="T8" s="95">
        <f t="shared" si="4"/>
        <v>0.41558796408487808</v>
      </c>
      <c r="V8" s="106" t="s">
        <v>97</v>
      </c>
      <c r="W8" s="106" t="s">
        <v>96</v>
      </c>
    </row>
    <row r="9" spans="2:23" ht="15" customHeight="1" x14ac:dyDescent="0.3">
      <c r="B9" s="102">
        <v>20</v>
      </c>
      <c r="C9" s="101">
        <v>5</v>
      </c>
      <c r="D9" s="115">
        <f>'Defunciones generales'!D26</f>
        <v>1263</v>
      </c>
      <c r="E9" s="115">
        <f>Homicidios!D558</f>
        <v>321</v>
      </c>
      <c r="F9" s="96">
        <f t="shared" si="5"/>
        <v>0.74584323040380052</v>
      </c>
      <c r="G9" s="117">
        <f>LT!H26</f>
        <v>97976.57</v>
      </c>
      <c r="H9" s="119">
        <f>1-LT!F26</f>
        <v>0.99721610000000005</v>
      </c>
      <c r="I9" s="100">
        <f t="shared" si="6"/>
        <v>2.7838999999999503E-3</v>
      </c>
      <c r="J9" s="121">
        <f>LT!G26</f>
        <v>2.5</v>
      </c>
      <c r="K9" s="122">
        <f>LT!L26</f>
        <v>59.296914000000001</v>
      </c>
      <c r="L9" s="100">
        <f t="shared" si="9"/>
        <v>0.99792291161595514</v>
      </c>
      <c r="M9" s="99">
        <f t="shared" si="0"/>
        <v>2.0770883840448562E-3</v>
      </c>
      <c r="N9" s="97">
        <f t="shared" si="7"/>
        <v>98063.41053862471</v>
      </c>
      <c r="O9" s="98">
        <f t="shared" si="1"/>
        <v>203.68637092959932</v>
      </c>
      <c r="P9" s="100">
        <f t="shared" si="10"/>
        <v>2.5241000445624007</v>
      </c>
      <c r="Q9" s="97">
        <f t="shared" si="2"/>
        <v>489812.74561641569</v>
      </c>
      <c r="R9" s="97">
        <f t="shared" si="3"/>
        <v>5852383.1783850519</v>
      </c>
      <c r="S9" s="96">
        <f t="shared" si="8"/>
        <v>59.679580245477446</v>
      </c>
      <c r="T9" s="95">
        <f t="shared" si="4"/>
        <v>0.38266624547744499</v>
      </c>
      <c r="V9" s="103">
        <f>([1]TV!M53-[1]TV!M71)/[1]TV!J53</f>
        <v>66.401396448949356</v>
      </c>
      <c r="W9" s="103">
        <f>(R4-R22)/N4</f>
        <v>75.675429864139872</v>
      </c>
    </row>
    <row r="10" spans="2:23" ht="15" customHeight="1" x14ac:dyDescent="0.3">
      <c r="B10" s="102">
        <v>25</v>
      </c>
      <c r="C10" s="101">
        <v>5</v>
      </c>
      <c r="D10" s="115">
        <f>'Defunciones generales'!D27</f>
        <v>1614</v>
      </c>
      <c r="E10" s="115">
        <f>Homicidios!D559</f>
        <v>423</v>
      </c>
      <c r="F10" s="96">
        <f t="shared" si="5"/>
        <v>0.73791821561338289</v>
      </c>
      <c r="G10" s="117">
        <f>LT!H27</f>
        <v>97703.81</v>
      </c>
      <c r="H10" s="119">
        <f>1-LT!F27</f>
        <v>0.99716519999999997</v>
      </c>
      <c r="I10" s="100">
        <f t="shared" si="6"/>
        <v>2.8348000000000262E-3</v>
      </c>
      <c r="J10" s="121">
        <f>LT!G27</f>
        <v>2.5</v>
      </c>
      <c r="K10" s="122">
        <f>LT!L27</f>
        <v>54.455472999999998</v>
      </c>
      <c r="L10" s="100">
        <f t="shared" si="9"/>
        <v>0.99790737144456798</v>
      </c>
      <c r="M10" s="99">
        <f t="shared" si="0"/>
        <v>2.092628555432019E-3</v>
      </c>
      <c r="N10" s="97">
        <f t="shared" si="7"/>
        <v>97859.724167695109</v>
      </c>
      <c r="O10" s="98">
        <f t="shared" si="1"/>
        <v>204.78405322001964</v>
      </c>
      <c r="P10" s="100">
        <f t="shared" si="10"/>
        <v>2.5528398522177675</v>
      </c>
      <c r="Q10" s="97">
        <f t="shared" si="2"/>
        <v>488797.48146453418</v>
      </c>
      <c r="R10" s="97">
        <f t="shared" si="3"/>
        <v>5362570.4327686364</v>
      </c>
      <c r="S10" s="96">
        <f t="shared" si="8"/>
        <v>54.798544328402038</v>
      </c>
      <c r="T10" s="95">
        <f t="shared" si="4"/>
        <v>0.34307132840203991</v>
      </c>
      <c r="V10" s="104" t="s">
        <v>95</v>
      </c>
      <c r="W10" s="103">
        <f>W9-V9</f>
        <v>9.2740334151905159</v>
      </c>
    </row>
    <row r="11" spans="2:23" ht="15" customHeight="1" x14ac:dyDescent="0.3">
      <c r="B11" s="102">
        <v>30</v>
      </c>
      <c r="C11" s="101">
        <v>5</v>
      </c>
      <c r="D11" s="115">
        <f>'Defunciones generales'!D28</f>
        <v>1619</v>
      </c>
      <c r="E11" s="115">
        <f>Homicidios!D560</f>
        <v>400</v>
      </c>
      <c r="F11" s="96">
        <f t="shared" si="5"/>
        <v>0.75293390982087705</v>
      </c>
      <c r="G11" s="117">
        <f>LT!H28</f>
        <v>97426.84</v>
      </c>
      <c r="H11" s="119">
        <f>1-LT!F28</f>
        <v>0.99652490000000005</v>
      </c>
      <c r="I11" s="100">
        <f t="shared" si="6"/>
        <v>3.4750999999999532E-3</v>
      </c>
      <c r="J11" s="121">
        <f>LT!G28</f>
        <v>2.5</v>
      </c>
      <c r="K11" s="122">
        <f>LT!L28</f>
        <v>49.603175</v>
      </c>
      <c r="L11" s="100">
        <f t="shared" si="9"/>
        <v>0.99738235449889467</v>
      </c>
      <c r="M11" s="99">
        <f t="shared" si="0"/>
        <v>2.6176455011053257E-3</v>
      </c>
      <c r="N11" s="97">
        <f t="shared" si="7"/>
        <v>97654.940114475088</v>
      </c>
      <c r="O11" s="98">
        <f t="shared" si="1"/>
        <v>255.62601465136572</v>
      </c>
      <c r="P11" s="100">
        <f t="shared" si="10"/>
        <v>2.6786645822518405</v>
      </c>
      <c r="Q11" s="97">
        <f t="shared" si="2"/>
        <v>487681.3068508674</v>
      </c>
      <c r="R11" s="97">
        <f t="shared" si="3"/>
        <v>4873772.9513041023</v>
      </c>
      <c r="S11" s="96">
        <f t="shared" si="8"/>
        <v>49.908104450126821</v>
      </c>
      <c r="T11" s="95">
        <f t="shared" si="4"/>
        <v>0.30492945012682071</v>
      </c>
    </row>
    <row r="12" spans="2:23" ht="15" customHeight="1" x14ac:dyDescent="0.3">
      <c r="B12" s="102">
        <v>35</v>
      </c>
      <c r="C12" s="101">
        <v>5</v>
      </c>
      <c r="D12" s="115">
        <f>'Defunciones generales'!D29</f>
        <v>1875</v>
      </c>
      <c r="E12" s="115">
        <f>Homicidios!D561</f>
        <v>317</v>
      </c>
      <c r="F12" s="96">
        <f t="shared" si="5"/>
        <v>0.8309333333333333</v>
      </c>
      <c r="G12" s="117">
        <f>LT!H29</f>
        <v>97088.28</v>
      </c>
      <c r="H12" s="119">
        <f>1-LT!F29</f>
        <v>0.99476330000000002</v>
      </c>
      <c r="I12" s="100">
        <f t="shared" si="6"/>
        <v>5.236699999999983E-3</v>
      </c>
      <c r="J12" s="121">
        <f>LT!G29</f>
        <v>2.5</v>
      </c>
      <c r="K12" s="122">
        <f>LT!L29</f>
        <v>44.767431999999999</v>
      </c>
      <c r="L12" s="100">
        <f t="shared" si="9"/>
        <v>0.99564672123498399</v>
      </c>
      <c r="M12" s="99">
        <f t="shared" si="0"/>
        <v>4.353278765016011E-3</v>
      </c>
      <c r="N12" s="97">
        <f t="shared" si="7"/>
        <v>97399.314099823721</v>
      </c>
      <c r="O12" s="98">
        <f t="shared" si="1"/>
        <v>424.00636579788716</v>
      </c>
      <c r="P12" s="100">
        <f t="shared" si="10"/>
        <v>2.7102395326501236</v>
      </c>
      <c r="Q12" s="97">
        <f t="shared" si="2"/>
        <v>486025.69748480991</v>
      </c>
      <c r="R12" s="97">
        <f t="shared" si="3"/>
        <v>4386091.644453235</v>
      </c>
      <c r="S12" s="96">
        <f t="shared" si="8"/>
        <v>45.032058849592794</v>
      </c>
      <c r="T12" s="95">
        <f t="shared" si="4"/>
        <v>0.26462684959279414</v>
      </c>
    </row>
    <row r="13" spans="2:23" ht="15" customHeight="1" x14ac:dyDescent="0.3">
      <c r="B13" s="102">
        <v>40</v>
      </c>
      <c r="C13" s="101">
        <v>5</v>
      </c>
      <c r="D13" s="115">
        <f>'Defunciones generales'!D30</f>
        <v>2182</v>
      </c>
      <c r="E13" s="115">
        <f>Homicidios!D562</f>
        <v>274</v>
      </c>
      <c r="F13" s="96">
        <f t="shared" si="5"/>
        <v>0.87442713107241066</v>
      </c>
      <c r="G13" s="117">
        <f>LT!H30</f>
        <v>96579.85</v>
      </c>
      <c r="H13" s="119">
        <f>1-LT!F30</f>
        <v>0.99194360000000004</v>
      </c>
      <c r="I13" s="100">
        <f t="shared" si="6"/>
        <v>8.0563999999999636E-3</v>
      </c>
      <c r="J13" s="121">
        <f>LT!G30</f>
        <v>2.5</v>
      </c>
      <c r="K13" s="122">
        <f>LT!L30</f>
        <v>39.989941000000002</v>
      </c>
      <c r="L13" s="100">
        <f t="shared" si="9"/>
        <v>0.99295169098695768</v>
      </c>
      <c r="M13" s="99">
        <f t="shared" si="0"/>
        <v>7.0483090130423198E-3</v>
      </c>
      <c r="N13" s="97">
        <f t="shared" si="7"/>
        <v>96975.307734025831</v>
      </c>
      <c r="O13" s="98">
        <f t="shared" si="1"/>
        <v>683.51193554428687</v>
      </c>
      <c r="P13" s="100">
        <f t="shared" si="10"/>
        <v>2.7579775745523967</v>
      </c>
      <c r="Q13" s="97">
        <f t="shared" si="2"/>
        <v>483344.08958257776</v>
      </c>
      <c r="R13" s="97">
        <f t="shared" si="3"/>
        <v>3900065.9469684255</v>
      </c>
      <c r="S13" s="96">
        <f t="shared" si="8"/>
        <v>40.217103076023598</v>
      </c>
      <c r="T13" s="95">
        <f t="shared" si="4"/>
        <v>0.22716207602359617</v>
      </c>
    </row>
    <row r="14" spans="2:23" ht="15" customHeight="1" x14ac:dyDescent="0.3">
      <c r="B14" s="102">
        <v>45</v>
      </c>
      <c r="C14" s="101">
        <v>5</v>
      </c>
      <c r="D14" s="115">
        <f>'Defunciones generales'!D31</f>
        <v>2815</v>
      </c>
      <c r="E14" s="115">
        <f>Homicidios!D563</f>
        <v>202</v>
      </c>
      <c r="F14" s="96">
        <f t="shared" si="5"/>
        <v>0.92824156305506211</v>
      </c>
      <c r="G14" s="117">
        <f>LT!H31</f>
        <v>95801.77</v>
      </c>
      <c r="H14" s="119">
        <f>1-LT!F31</f>
        <v>0.98579419999999995</v>
      </c>
      <c r="I14" s="100">
        <f t="shared" si="6"/>
        <v>1.4205800000000046E-2</v>
      </c>
      <c r="J14" s="121">
        <f>LT!G31</f>
        <v>2.5</v>
      </c>
      <c r="K14" s="122">
        <f>LT!L31</f>
        <v>35.294428000000003</v>
      </c>
      <c r="L14" s="100">
        <f t="shared" si="9"/>
        <v>0.98680683061783026</v>
      </c>
      <c r="M14" s="99">
        <f t="shared" si="0"/>
        <v>1.3193169382169745E-2</v>
      </c>
      <c r="N14" s="97">
        <f t="shared" si="7"/>
        <v>96291.795798481544</v>
      </c>
      <c r="O14" s="98">
        <f t="shared" si="1"/>
        <v>1270.3939720826679</v>
      </c>
      <c r="P14" s="100">
        <f t="shared" si="10"/>
        <v>2.723241622360431</v>
      </c>
      <c r="Q14" s="97">
        <f t="shared" si="2"/>
        <v>478566.59887356567</v>
      </c>
      <c r="R14" s="97">
        <f t="shared" si="3"/>
        <v>3416721.8573858477</v>
      </c>
      <c r="S14" s="96">
        <f t="shared" si="8"/>
        <v>35.483000696511333</v>
      </c>
      <c r="T14" s="95">
        <f t="shared" si="4"/>
        <v>0.18857269651132924</v>
      </c>
    </row>
    <row r="15" spans="2:23" ht="15" customHeight="1" x14ac:dyDescent="0.3">
      <c r="B15" s="102">
        <v>50</v>
      </c>
      <c r="C15" s="101">
        <v>5</v>
      </c>
      <c r="D15" s="115">
        <f>'Defunciones generales'!D32</f>
        <v>3360</v>
      </c>
      <c r="E15" s="115">
        <f>Homicidios!D564</f>
        <v>146</v>
      </c>
      <c r="F15" s="96">
        <f t="shared" si="5"/>
        <v>0.95654761904761909</v>
      </c>
      <c r="G15" s="117">
        <f>LT!H32</f>
        <v>94440.82</v>
      </c>
      <c r="H15" s="119">
        <f>1-LT!F32</f>
        <v>0.97751399999999999</v>
      </c>
      <c r="I15" s="100">
        <f t="shared" si="6"/>
        <v>2.2486000000000006E-2</v>
      </c>
      <c r="J15" s="121">
        <f>LT!G32</f>
        <v>2.5</v>
      </c>
      <c r="K15" s="122">
        <f>LT!L32</f>
        <v>30.767012999999999</v>
      </c>
      <c r="L15" s="100">
        <f t="shared" si="9"/>
        <v>0.97848047923108517</v>
      </c>
      <c r="M15" s="99">
        <f t="shared" si="0"/>
        <v>2.1519520768914835E-2</v>
      </c>
      <c r="N15" s="97">
        <f t="shared" si="7"/>
        <v>95021.401826398869</v>
      </c>
      <c r="O15" s="98">
        <f t="shared" si="1"/>
        <v>2044.8150300945924</v>
      </c>
      <c r="P15" s="100">
        <f t="shared" si="10"/>
        <v>2.7078313512237377</v>
      </c>
      <c r="Q15" s="97">
        <f t="shared" si="2"/>
        <v>470419.94822746504</v>
      </c>
      <c r="R15" s="97">
        <f t="shared" si="3"/>
        <v>2938155.2585122823</v>
      </c>
      <c r="S15" s="96">
        <f t="shared" si="8"/>
        <v>30.920984136607458</v>
      </c>
      <c r="T15" s="95">
        <f t="shared" si="4"/>
        <v>0.15397113660745987</v>
      </c>
    </row>
    <row r="16" spans="2:23" ht="15" customHeight="1" x14ac:dyDescent="0.3">
      <c r="B16" s="102">
        <v>55</v>
      </c>
      <c r="C16" s="101">
        <v>5</v>
      </c>
      <c r="D16" s="115">
        <f>'Defunciones generales'!D33</f>
        <v>4047</v>
      </c>
      <c r="E16" s="115">
        <f>Homicidios!D565</f>
        <v>99</v>
      </c>
      <c r="F16" s="96">
        <f t="shared" si="5"/>
        <v>0.97553743513713864</v>
      </c>
      <c r="G16" s="117">
        <f>LT!H33</f>
        <v>92317.22</v>
      </c>
      <c r="H16" s="119">
        <f>1-LT!F33</f>
        <v>0.9635203</v>
      </c>
      <c r="I16" s="100">
        <f t="shared" si="6"/>
        <v>3.6479700000000004E-2</v>
      </c>
      <c r="J16" s="121">
        <f>LT!G33</f>
        <v>2.5</v>
      </c>
      <c r="K16" s="122">
        <f>LT!L33</f>
        <v>26.417247</v>
      </c>
      <c r="L16" s="100">
        <f t="shared" si="9"/>
        <v>0.9643966066561539</v>
      </c>
      <c r="M16" s="99">
        <f t="shared" si="0"/>
        <v>3.5603393343846101E-2</v>
      </c>
      <c r="N16" s="97">
        <f t="shared" si="7"/>
        <v>92976.586796304284</v>
      </c>
      <c r="O16" s="98">
        <f t="shared" si="1"/>
        <v>3310.2819914770694</v>
      </c>
      <c r="P16" s="100">
        <f t="shared" si="10"/>
        <v>2.6929298469165439</v>
      </c>
      <c r="Q16" s="97">
        <f t="shared" si="2"/>
        <v>457245.881200695</v>
      </c>
      <c r="R16" s="97">
        <f t="shared" si="3"/>
        <v>2467735.3102848171</v>
      </c>
      <c r="S16" s="96">
        <f t="shared" si="8"/>
        <v>26.541470227243348</v>
      </c>
      <c r="T16" s="95">
        <f t="shared" si="4"/>
        <v>0.12422322724334833</v>
      </c>
    </row>
    <row r="17" spans="2:28" ht="15" customHeight="1" x14ac:dyDescent="0.3">
      <c r="B17" s="102">
        <v>60</v>
      </c>
      <c r="C17" s="101">
        <v>5</v>
      </c>
      <c r="D17" s="115">
        <f>'Defunciones generales'!D34</f>
        <v>4412</v>
      </c>
      <c r="E17" s="115">
        <f>Homicidios!D566</f>
        <v>80</v>
      </c>
      <c r="F17" s="96">
        <f t="shared" si="5"/>
        <v>0.98186763372620123</v>
      </c>
      <c r="G17" s="117">
        <f>LT!H34</f>
        <v>88949.52</v>
      </c>
      <c r="H17" s="119">
        <f>1-LT!F34</f>
        <v>0.94198570000000004</v>
      </c>
      <c r="I17" s="100">
        <f t="shared" si="6"/>
        <v>5.8014299999999963E-2</v>
      </c>
      <c r="J17" s="121">
        <f>LT!G34</f>
        <v>2.5</v>
      </c>
      <c r="K17" s="122">
        <f>LT!L34</f>
        <v>22.322775</v>
      </c>
      <c r="L17" s="100">
        <f t="shared" si="9"/>
        <v>0.94300706836334869</v>
      </c>
      <c r="M17" s="99">
        <f t="shared" si="0"/>
        <v>5.6992931636651312E-2</v>
      </c>
      <c r="N17" s="97">
        <f t="shared" si="7"/>
        <v>89666.304804827218</v>
      </c>
      <c r="O17" s="98">
        <f t="shared" si="1"/>
        <v>5110.3455798526566</v>
      </c>
      <c r="P17" s="100">
        <f t="shared" si="10"/>
        <v>2.6342454980244274</v>
      </c>
      <c r="Q17" s="97">
        <f t="shared" si="2"/>
        <v>436241.70096194872</v>
      </c>
      <c r="R17" s="97">
        <f t="shared" si="3"/>
        <v>2010489.4290841222</v>
      </c>
      <c r="S17" s="96">
        <f t="shared" si="8"/>
        <v>22.421905680849321</v>
      </c>
      <c r="T17" s="95">
        <f t="shared" si="4"/>
        <v>9.913068084932064E-2</v>
      </c>
    </row>
    <row r="18" spans="2:28" ht="15" customHeight="1" x14ac:dyDescent="0.3">
      <c r="B18" s="102">
        <v>65</v>
      </c>
      <c r="C18" s="101">
        <v>5</v>
      </c>
      <c r="D18" s="115">
        <f>'Defunciones generales'!D35</f>
        <v>4470</v>
      </c>
      <c r="E18" s="115">
        <f>Homicidios!D567</f>
        <v>44</v>
      </c>
      <c r="F18" s="96">
        <f t="shared" si="5"/>
        <v>0.99015659955257274</v>
      </c>
      <c r="G18" s="117">
        <f>LT!H35</f>
        <v>83789.17</v>
      </c>
      <c r="H18" s="119">
        <f>1-LT!F35</f>
        <v>0.92116149999999997</v>
      </c>
      <c r="I18" s="100">
        <f t="shared" si="6"/>
        <v>7.8838500000000034E-2</v>
      </c>
      <c r="J18" s="121">
        <f>LT!G35</f>
        <v>2.5</v>
      </c>
      <c r="K18" s="122">
        <f>LT!L35</f>
        <v>18.543604999999999</v>
      </c>
      <c r="L18" s="100">
        <f t="shared" si="9"/>
        <v>0.92190641189888933</v>
      </c>
      <c r="M18" s="99">
        <f t="shared" si="0"/>
        <v>7.8093588101110667E-2</v>
      </c>
      <c r="N18" s="97">
        <f t="shared" si="7"/>
        <v>84555.959224974562</v>
      </c>
      <c r="O18" s="98">
        <f t="shared" si="1"/>
        <v>6603.2782512094718</v>
      </c>
      <c r="P18" s="100">
        <f t="shared" si="10"/>
        <v>2.633542540267594</v>
      </c>
      <c r="Q18" s="97">
        <f t="shared" si="2"/>
        <v>407153.41904860939</v>
      </c>
      <c r="R18" s="97">
        <f t="shared" si="3"/>
        <v>1574247.7281221736</v>
      </c>
      <c r="S18" s="96">
        <f t="shared" si="8"/>
        <v>18.617821174893628</v>
      </c>
      <c r="T18" s="95">
        <f t="shared" si="4"/>
        <v>7.4216174893628306E-2</v>
      </c>
    </row>
    <row r="19" spans="2:28" ht="15" customHeight="1" x14ac:dyDescent="0.3">
      <c r="B19" s="102">
        <v>70</v>
      </c>
      <c r="C19" s="101">
        <v>5</v>
      </c>
      <c r="D19" s="115">
        <f>'Defunciones generales'!D36</f>
        <v>4573</v>
      </c>
      <c r="E19" s="115">
        <f>Homicidios!D568</f>
        <v>28</v>
      </c>
      <c r="F19" s="96">
        <f t="shared" si="5"/>
        <v>0.99387710474524382</v>
      </c>
      <c r="G19" s="117">
        <f>LT!H36</f>
        <v>77183.360000000001</v>
      </c>
      <c r="H19" s="119">
        <f>1-LT!F36</f>
        <v>0.87945229999999996</v>
      </c>
      <c r="I19" s="100">
        <f t="shared" si="6"/>
        <v>0.12054770000000004</v>
      </c>
      <c r="J19" s="121">
        <f>LT!G36</f>
        <v>2.5</v>
      </c>
      <c r="K19" s="122">
        <f>LT!L36</f>
        <v>14.916712</v>
      </c>
      <c r="L19" s="100">
        <f t="shared" si="9"/>
        <v>0.8801442809716018</v>
      </c>
      <c r="M19" s="99">
        <f t="shared" si="0"/>
        <v>0.1198557190283982</v>
      </c>
      <c r="N19" s="97">
        <f t="shared" si="7"/>
        <v>77952.680973765091</v>
      </c>
      <c r="O19" s="98">
        <f t="shared" si="1"/>
        <v>9343.0746283019507</v>
      </c>
      <c r="P19" s="100">
        <f t="shared" si="10"/>
        <v>2.6477224747921859</v>
      </c>
      <c r="Q19" s="97">
        <f>(C19*N20)+(P19*O19)</f>
        <v>367785.90040433139</v>
      </c>
      <c r="R19" s="97">
        <f t="shared" si="3"/>
        <v>1167094.3090735641</v>
      </c>
      <c r="S19" s="96">
        <f t="shared" si="8"/>
        <v>14.971830275681587</v>
      </c>
      <c r="T19" s="95">
        <f t="shared" si="4"/>
        <v>5.5118275681586226E-2</v>
      </c>
    </row>
    <row r="20" spans="2:28" ht="15" customHeight="1" x14ac:dyDescent="0.3">
      <c r="B20" s="102">
        <v>75</v>
      </c>
      <c r="C20" s="101">
        <v>5</v>
      </c>
      <c r="D20" s="115">
        <f>'Defunciones generales'!D37</f>
        <v>4349</v>
      </c>
      <c r="E20" s="115">
        <f>Homicidios!D569</f>
        <v>13</v>
      </c>
      <c r="F20" s="96">
        <f t="shared" si="5"/>
        <v>0.99701080708208789</v>
      </c>
      <c r="G20" s="117">
        <f>LT!H37</f>
        <v>67879.08</v>
      </c>
      <c r="H20" s="119">
        <f>1-LT!F37</f>
        <v>0.80667860000000002</v>
      </c>
      <c r="I20" s="100">
        <f t="shared" si="6"/>
        <v>0.19332139999999998</v>
      </c>
      <c r="J20" s="121">
        <f>LT!G37</f>
        <v>2.5</v>
      </c>
      <c r="K20" s="122">
        <f>LT!L37</f>
        <v>11.618688000000001</v>
      </c>
      <c r="L20" s="100">
        <f t="shared" si="9"/>
        <v>0.80719678969363085</v>
      </c>
      <c r="M20" s="99">
        <f t="shared" si="0"/>
        <v>0.19280321030636915</v>
      </c>
      <c r="N20" s="97">
        <f t="shared" si="7"/>
        <v>68609.606345463137</v>
      </c>
      <c r="O20" s="98">
        <f t="shared" si="1"/>
        <v>13228.152361261529</v>
      </c>
      <c r="P20" s="100">
        <f t="shared" si="10"/>
        <v>2.6127480129773444</v>
      </c>
      <c r="Q20" s="97">
        <f t="shared" si="2"/>
        <v>311469.09871825564</v>
      </c>
      <c r="R20" s="97">
        <f t="shared" si="3"/>
        <v>799308.40866923262</v>
      </c>
      <c r="S20" s="96">
        <f t="shared" si="8"/>
        <v>11.650094662321109</v>
      </c>
      <c r="T20" s="95">
        <f t="shared" si="4"/>
        <v>3.1406662321108669E-2</v>
      </c>
    </row>
    <row r="21" spans="2:28" ht="15" customHeight="1" x14ac:dyDescent="0.3">
      <c r="B21" s="102">
        <v>80</v>
      </c>
      <c r="C21" s="101">
        <v>5</v>
      </c>
      <c r="D21" s="115">
        <f>'Defunciones generales'!D38</f>
        <v>3999</v>
      </c>
      <c r="E21" s="115">
        <f>Homicidios!D570</f>
        <v>8</v>
      </c>
      <c r="F21" s="96">
        <f t="shared" si="5"/>
        <v>0.99799949987496872</v>
      </c>
      <c r="G21" s="117">
        <f>LT!H38</f>
        <v>54756.6</v>
      </c>
      <c r="H21" s="119">
        <f>1-LT!F38</f>
        <v>0.70153209999999999</v>
      </c>
      <c r="I21" s="100">
        <f t="shared" si="6"/>
        <v>0.29846790000000001</v>
      </c>
      <c r="J21" s="121">
        <f>LT!G38</f>
        <v>2.5</v>
      </c>
      <c r="K21" s="122">
        <f>LT!L38</f>
        <v>8.8039919999999992</v>
      </c>
      <c r="L21" s="100">
        <f t="shared" si="9"/>
        <v>0.70202977110966369</v>
      </c>
      <c r="M21" s="99">
        <f t="shared" si="0"/>
        <v>0.29797022889033631</v>
      </c>
      <c r="N21" s="97">
        <f t="shared" si="7"/>
        <v>55381.453984201609</v>
      </c>
      <c r="O21" s="98">
        <f t="shared" si="1"/>
        <v>16502.024519952181</v>
      </c>
      <c r="P21" s="98">
        <f>C21+(F21*(I21/M21)*(J21-C21))</f>
        <v>2.5008340930734447</v>
      </c>
      <c r="Q21" s="97">
        <f>(C21*N22)+(P21*O21)</f>
        <v>235665.97284547752</v>
      </c>
      <c r="R21" s="97">
        <f t="shared" si="3"/>
        <v>487839.30995097698</v>
      </c>
      <c r="S21" s="96">
        <f t="shared" si="8"/>
        <v>8.8087125717237491</v>
      </c>
      <c r="T21" s="95">
        <f t="shared" si="4"/>
        <v>4.7205717237499556E-3</v>
      </c>
    </row>
    <row r="22" spans="2:28" ht="15" customHeight="1" x14ac:dyDescent="0.3">
      <c r="B22" s="94">
        <v>85</v>
      </c>
      <c r="C22" s="93">
        <v>5</v>
      </c>
      <c r="D22" s="116">
        <f>'Defunciones generales'!D39</f>
        <v>5477</v>
      </c>
      <c r="E22" s="116">
        <f>Homicidios!D571</f>
        <v>7</v>
      </c>
      <c r="F22" s="88">
        <f t="shared" si="5"/>
        <v>0.99872192806280813</v>
      </c>
      <c r="G22" s="118">
        <f>LT!H39</f>
        <v>38413.51</v>
      </c>
      <c r="H22" s="120">
        <f>1-LT!F39</f>
        <v>0</v>
      </c>
      <c r="I22" s="92">
        <f t="shared" si="6"/>
        <v>1</v>
      </c>
      <c r="J22" s="121">
        <f>LT!G39</f>
        <v>2.5</v>
      </c>
      <c r="K22" s="123">
        <f>LT!L39</f>
        <v>6.4860340000000001</v>
      </c>
      <c r="L22" s="144">
        <f>H22^F22</f>
        <v>0</v>
      </c>
      <c r="M22" s="91">
        <f>1-L22</f>
        <v>1</v>
      </c>
      <c r="N22" s="89">
        <f t="shared" si="7"/>
        <v>38879.429464249428</v>
      </c>
      <c r="O22" s="90">
        <f>N22*M22</f>
        <v>38879.429464249428</v>
      </c>
      <c r="P22" s="92">
        <f>K22/F22</f>
        <v>6.4943342263254111</v>
      </c>
      <c r="Q22" s="123">
        <f>N22/LT!E39</f>
        <v>252173.33710549943</v>
      </c>
      <c r="R22" s="89">
        <f>Q22</f>
        <v>252173.33710549943</v>
      </c>
      <c r="S22" s="88">
        <f t="shared" si="8"/>
        <v>6.4860349182175856</v>
      </c>
      <c r="T22" s="87">
        <f t="shared" si="4"/>
        <v>9.1821758552157462E-7</v>
      </c>
    </row>
    <row r="24" spans="2:28" ht="15" customHeight="1" x14ac:dyDescent="0.3">
      <c r="B24" s="178" t="s">
        <v>115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</row>
    <row r="25" spans="2:28" ht="14.4" x14ac:dyDescent="0.3">
      <c r="C25" s="114"/>
      <c r="D25" s="114"/>
      <c r="E25" s="114"/>
      <c r="F25" s="114"/>
    </row>
    <row r="26" spans="2:28" ht="33" customHeight="1" x14ac:dyDescent="0.3">
      <c r="B26" s="113" t="s">
        <v>110</v>
      </c>
      <c r="C26" s="112" t="s">
        <v>109</v>
      </c>
      <c r="D26" s="112" t="s">
        <v>108</v>
      </c>
      <c r="E26" s="112" t="s">
        <v>107</v>
      </c>
      <c r="F26" s="111"/>
      <c r="G26" s="110"/>
      <c r="H26" s="110"/>
      <c r="I26" s="110" t="s">
        <v>106</v>
      </c>
      <c r="J26" s="110"/>
      <c r="K26" s="109" t="s">
        <v>105</v>
      </c>
      <c r="L26" s="110"/>
      <c r="M26" s="110" t="s">
        <v>104</v>
      </c>
      <c r="N26" s="110"/>
      <c r="O26" s="110" t="s">
        <v>103</v>
      </c>
      <c r="P26" s="110"/>
      <c r="Q26" s="110" t="s">
        <v>102</v>
      </c>
      <c r="R26" s="110" t="s">
        <v>101</v>
      </c>
      <c r="S26" s="109" t="s">
        <v>100</v>
      </c>
      <c r="T26" s="108" t="s">
        <v>99</v>
      </c>
      <c r="AA26" s="84" t="s">
        <v>113</v>
      </c>
      <c r="AB26" s="84" t="s">
        <v>112</v>
      </c>
    </row>
    <row r="27" spans="2:28" ht="14.4" x14ac:dyDescent="0.3">
      <c r="B27" s="102">
        <v>0</v>
      </c>
      <c r="C27" s="101">
        <v>1</v>
      </c>
      <c r="D27" s="124">
        <f>'Defunciones generales'!D78</f>
        <v>1391</v>
      </c>
      <c r="E27" s="124">
        <f>Homicidios!D1218</f>
        <v>9</v>
      </c>
      <c r="F27" s="96">
        <f t="shared" ref="F27:F45" si="11">(D27-E27)/D27</f>
        <v>0.99352983465132994</v>
      </c>
      <c r="G27" s="126">
        <f>LT!H78</f>
        <v>100000</v>
      </c>
      <c r="H27" s="127">
        <f>1-LT!F78</f>
        <v>0.9894366</v>
      </c>
      <c r="I27" s="100">
        <f t="shared" ref="I27:I45" si="12">1-H27</f>
        <v>1.0563400000000001E-2</v>
      </c>
      <c r="J27" s="130">
        <f>LT!G78</f>
        <v>8.2866999999999996E-2</v>
      </c>
      <c r="K27" s="136">
        <f>LT!L78</f>
        <v>78.854511000000002</v>
      </c>
      <c r="L27" s="100">
        <f t="shared" ref="L27:L45" si="13">H27^F27</f>
        <v>0.98950458701442712</v>
      </c>
      <c r="M27" s="99">
        <f t="shared" ref="M27:M45" si="14">1-L27</f>
        <v>1.0495412985572883E-2</v>
      </c>
      <c r="N27" s="97">
        <v>100000</v>
      </c>
      <c r="O27" s="98">
        <f t="shared" ref="O27:O45" si="15">N27*M27</f>
        <v>1049.5412985572882</v>
      </c>
      <c r="P27" s="98">
        <f>C27+(F27*(I27/M27)*(J27-C27))</f>
        <v>8.2898452204899664E-2</v>
      </c>
      <c r="Q27" s="97">
        <f t="shared" ref="Q27:Q44" si="16">(C27*N28)+(P27*O27)</f>
        <v>99037.464050618233</v>
      </c>
      <c r="R27" s="97">
        <f t="shared" ref="R27:R44" si="17">R28+Q27</f>
        <v>7905653.4203235721</v>
      </c>
      <c r="S27" s="137">
        <f t="shared" ref="S27:S45" si="18">R27/N27</f>
        <v>79.056534203235728</v>
      </c>
      <c r="T27" s="95">
        <f t="shared" ref="T27:T45" si="19">S27-K27</f>
        <v>0.20202320323572565</v>
      </c>
      <c r="Z27" s="141" t="s">
        <v>134</v>
      </c>
      <c r="AA27" s="86">
        <f>S4</f>
        <v>78.197163235194864</v>
      </c>
      <c r="AB27" s="86">
        <f>S27</f>
        <v>79.056534203235728</v>
      </c>
    </row>
    <row r="28" spans="2:28" ht="14.4" x14ac:dyDescent="0.3">
      <c r="B28" s="102">
        <v>1</v>
      </c>
      <c r="C28" s="101">
        <v>4</v>
      </c>
      <c r="D28" s="124">
        <f>'Defunciones generales'!D79</f>
        <v>245</v>
      </c>
      <c r="E28" s="124">
        <f>Homicidios!D1219</f>
        <v>9</v>
      </c>
      <c r="F28" s="96">
        <f t="shared" si="11"/>
        <v>0.96326530612244898</v>
      </c>
      <c r="G28" s="126">
        <f>LT!H79</f>
        <v>98943.66</v>
      </c>
      <c r="H28" s="127">
        <f>1-LT!F79</f>
        <v>0.99815160000000003</v>
      </c>
      <c r="I28" s="100">
        <f t="shared" si="12"/>
        <v>1.8483999999999723E-3</v>
      </c>
      <c r="J28" s="130">
        <f>LT!G79</f>
        <v>1.538192</v>
      </c>
      <c r="K28" s="131">
        <f>LT!L79</f>
        <v>78.695492999999999</v>
      </c>
      <c r="L28" s="100">
        <f t="shared" si="13"/>
        <v>0.99821943992119</v>
      </c>
      <c r="M28" s="99">
        <f t="shared" si="14"/>
        <v>1.7805600788100007E-3</v>
      </c>
      <c r="N28" s="97">
        <f t="shared" ref="N28:N45" si="20">N27*L27</f>
        <v>98950.458701442709</v>
      </c>
      <c r="O28" s="98">
        <f t="shared" si="15"/>
        <v>176.18723654372656</v>
      </c>
      <c r="P28" s="98">
        <f>C28+(F28*(I28/M28)*(J28-C28))</f>
        <v>1.538275629480701</v>
      </c>
      <c r="Q28" s="97">
        <f t="shared" si="16"/>
        <v>395368.11039179668</v>
      </c>
      <c r="R28" s="97">
        <f t="shared" si="17"/>
        <v>7806615.9562729541</v>
      </c>
      <c r="S28" s="96">
        <f t="shared" si="18"/>
        <v>78.894186633610147</v>
      </c>
      <c r="T28" s="95">
        <f t="shared" si="19"/>
        <v>0.19869363361014791</v>
      </c>
      <c r="U28" s="107"/>
      <c r="V28" s="172" t="s">
        <v>98</v>
      </c>
      <c r="W28" s="173"/>
      <c r="Z28" s="141" t="s">
        <v>135</v>
      </c>
      <c r="AA28" s="86">
        <f>K4</f>
        <v>77.764304999999993</v>
      </c>
      <c r="AB28" s="86">
        <f>K27</f>
        <v>78.854511000000002</v>
      </c>
    </row>
    <row r="29" spans="2:28" ht="14.4" x14ac:dyDescent="0.3">
      <c r="B29" s="102">
        <v>5</v>
      </c>
      <c r="C29" s="101">
        <v>5</v>
      </c>
      <c r="D29" s="124">
        <f>'Defunciones generales'!D80</f>
        <v>135</v>
      </c>
      <c r="E29" s="124">
        <f>Homicidios!D1220</f>
        <v>6</v>
      </c>
      <c r="F29" s="96">
        <f t="shared" si="11"/>
        <v>0.9555555555555556</v>
      </c>
      <c r="G29" s="126">
        <f>LT!H80</f>
        <v>98760.77</v>
      </c>
      <c r="H29" s="127">
        <f>1-LT!F80</f>
        <v>0.99904519999999997</v>
      </c>
      <c r="I29" s="100">
        <f t="shared" si="12"/>
        <v>9.548000000000334E-4</v>
      </c>
      <c r="J29" s="130">
        <f>LT!G80</f>
        <v>2.5</v>
      </c>
      <c r="K29" s="131">
        <f>LT!L80</f>
        <v>74.838374000000002</v>
      </c>
      <c r="L29" s="100">
        <f t="shared" si="13"/>
        <v>0.99908761619077135</v>
      </c>
      <c r="M29" s="99">
        <f t="shared" si="14"/>
        <v>9.1238380922864515E-4</v>
      </c>
      <c r="N29" s="97">
        <f t="shared" si="20"/>
        <v>98774.271464898979</v>
      </c>
      <c r="O29" s="98">
        <f t="shared" si="15"/>
        <v>90.120046052928799</v>
      </c>
      <c r="P29" s="98">
        <f>C29+(F29*(I29/M29)*(J29-C29))</f>
        <v>2.500053060959579</v>
      </c>
      <c r="Q29" s="97">
        <f t="shared" si="16"/>
        <v>493646.06199121871</v>
      </c>
      <c r="R29" s="97">
        <f t="shared" si="17"/>
        <v>7411247.8458811576</v>
      </c>
      <c r="S29" s="96">
        <f t="shared" si="18"/>
        <v>75.032169166794247</v>
      </c>
      <c r="T29" s="95">
        <f t="shared" si="19"/>
        <v>0.19379516679424569</v>
      </c>
      <c r="U29" s="107"/>
      <c r="V29" s="174"/>
      <c r="W29" s="175"/>
      <c r="AA29" s="85">
        <f>AA27-AA28</f>
        <v>0.4328582351948711</v>
      </c>
      <c r="AB29" s="85">
        <f>AB27-AB28</f>
        <v>0.20202320323572565</v>
      </c>
    </row>
    <row r="30" spans="2:28" ht="14.4" x14ac:dyDescent="0.3">
      <c r="B30" s="102">
        <v>10</v>
      </c>
      <c r="C30" s="101">
        <v>5</v>
      </c>
      <c r="D30" s="124">
        <f>'Defunciones generales'!D81</f>
        <v>168</v>
      </c>
      <c r="E30" s="124">
        <f>Homicidios!D1221</f>
        <v>10</v>
      </c>
      <c r="F30" s="96">
        <f t="shared" si="11"/>
        <v>0.94047619047619047</v>
      </c>
      <c r="G30" s="126">
        <f>LT!H81</f>
        <v>98666.48</v>
      </c>
      <c r="H30" s="127">
        <f>1-LT!F81</f>
        <v>0.99887559999999997</v>
      </c>
      <c r="I30" s="100">
        <f t="shared" si="12"/>
        <v>1.1244000000000254E-3</v>
      </c>
      <c r="J30" s="130">
        <f>LT!G81</f>
        <v>2.5</v>
      </c>
      <c r="K30" s="131">
        <f>LT!L81</f>
        <v>69.907505999999998</v>
      </c>
      <c r="L30" s="100">
        <f t="shared" si="13"/>
        <v>0.99894249316984163</v>
      </c>
      <c r="M30" s="99">
        <f t="shared" si="14"/>
        <v>1.0575068301583723E-3</v>
      </c>
      <c r="N30" s="97">
        <f t="shared" si="20"/>
        <v>98684.151418846057</v>
      </c>
      <c r="O30" s="98">
        <f t="shared" si="15"/>
        <v>104.35916415381273</v>
      </c>
      <c r="P30" s="100">
        <f>(((-5/24)*O29)+((2.5)*O30)+((5/24)*O31))/O30</f>
        <v>2.7166774310730184</v>
      </c>
      <c r="Q30" s="97">
        <f t="shared" si="16"/>
        <v>493182.47145944356</v>
      </c>
      <c r="R30" s="97">
        <f t="shared" si="17"/>
        <v>6917601.7838899391</v>
      </c>
      <c r="S30" s="96">
        <f t="shared" si="18"/>
        <v>70.098406729257846</v>
      </c>
      <c r="T30" s="95">
        <f t="shared" si="19"/>
        <v>0.19090072925784796</v>
      </c>
      <c r="U30" s="107"/>
      <c r="V30" s="176"/>
      <c r="W30" s="177"/>
      <c r="AA30">
        <f>AA29*12</f>
        <v>5.1942988223384532</v>
      </c>
      <c r="AB30">
        <f>AB29*12</f>
        <v>2.4242784388287077</v>
      </c>
    </row>
    <row r="31" spans="2:28" ht="14.4" x14ac:dyDescent="0.3">
      <c r="B31" s="102">
        <v>15</v>
      </c>
      <c r="C31" s="101">
        <v>5</v>
      </c>
      <c r="D31" s="124">
        <f>'Defunciones generales'!D82</f>
        <v>343</v>
      </c>
      <c r="E31" s="124">
        <f>Homicidios!D1222</f>
        <v>34</v>
      </c>
      <c r="F31" s="96">
        <f t="shared" si="11"/>
        <v>0.9008746355685131</v>
      </c>
      <c r="G31" s="126">
        <f>LT!H82</f>
        <v>98555.54</v>
      </c>
      <c r="H31" s="127">
        <f>1-LT!F82</f>
        <v>0.99776330000000002</v>
      </c>
      <c r="I31" s="100">
        <f t="shared" si="12"/>
        <v>2.2366999999999804E-3</v>
      </c>
      <c r="J31" s="130">
        <f>LT!G82</f>
        <v>2.5</v>
      </c>
      <c r="K31" s="131">
        <f>LT!L82</f>
        <v>64.983382000000006</v>
      </c>
      <c r="L31" s="100">
        <f t="shared" si="13"/>
        <v>0.99798479014432295</v>
      </c>
      <c r="M31" s="99">
        <f t="shared" si="14"/>
        <v>2.015209855677047E-3</v>
      </c>
      <c r="N31" s="97">
        <f t="shared" si="20"/>
        <v>98579.792254692249</v>
      </c>
      <c r="O31" s="98">
        <f t="shared" si="15"/>
        <v>198.65896892225163</v>
      </c>
      <c r="P31" s="100">
        <f>(((-5/24)*O30)+((2.5)*O31)+((5/24)*O32))/O31</f>
        <v>2.6369804694084356</v>
      </c>
      <c r="Q31" s="97">
        <f t="shared" si="16"/>
        <v>492429.52624997083</v>
      </c>
      <c r="R31" s="97">
        <f t="shared" si="17"/>
        <v>6424419.3124304954</v>
      </c>
      <c r="S31" s="96">
        <f t="shared" si="18"/>
        <v>65.169738802373089</v>
      </c>
      <c r="T31" s="95">
        <f t="shared" si="19"/>
        <v>0.1863568023730835</v>
      </c>
      <c r="U31" s="84"/>
      <c r="V31" s="106" t="s">
        <v>97</v>
      </c>
      <c r="W31" s="106" t="s">
        <v>96</v>
      </c>
    </row>
    <row r="32" spans="2:28" ht="14.4" x14ac:dyDescent="0.3">
      <c r="B32" s="102">
        <v>20</v>
      </c>
      <c r="C32" s="101">
        <v>5</v>
      </c>
      <c r="D32" s="124">
        <f>'Defunciones generales'!D83</f>
        <v>426</v>
      </c>
      <c r="E32" s="124">
        <f>Homicidios!D1223</f>
        <v>65</v>
      </c>
      <c r="F32" s="96">
        <f t="shared" si="11"/>
        <v>0.84741784037558687</v>
      </c>
      <c r="G32" s="126">
        <f>LT!H83</f>
        <v>98335.1</v>
      </c>
      <c r="H32" s="127">
        <f>1-LT!F83</f>
        <v>0.99718209999999996</v>
      </c>
      <c r="I32" s="100">
        <f t="shared" si="12"/>
        <v>2.8179000000000398E-3</v>
      </c>
      <c r="J32" s="130">
        <f>LT!G83</f>
        <v>2.5</v>
      </c>
      <c r="K32" s="131">
        <f>LT!L83</f>
        <v>60.123451000000003</v>
      </c>
      <c r="L32" s="100">
        <f t="shared" si="13"/>
        <v>0.99761154735040447</v>
      </c>
      <c r="M32" s="99">
        <f t="shared" si="14"/>
        <v>2.3884526495955294E-3</v>
      </c>
      <c r="N32" s="97">
        <f t="shared" si="20"/>
        <v>98381.133285770004</v>
      </c>
      <c r="O32" s="98">
        <f t="shared" si="15"/>
        <v>234.9786784666083</v>
      </c>
      <c r="P32" s="100">
        <f>(((-5/24)*O31)+((2.5)*O32)+((5/24)*O33))/O32</f>
        <v>2.5966154394485623</v>
      </c>
      <c r="Q32" s="97">
        <f t="shared" si="16"/>
        <v>491340.92230096459</v>
      </c>
      <c r="R32" s="97">
        <f t="shared" si="17"/>
        <v>5931989.7861805242</v>
      </c>
      <c r="S32" s="96">
        <f t="shared" si="18"/>
        <v>60.296009896020749</v>
      </c>
      <c r="T32" s="95">
        <f t="shared" si="19"/>
        <v>0.17255889602074603</v>
      </c>
      <c r="U32" s="105"/>
      <c r="V32" s="103">
        <f>([1]TV!M29-[1]TV!M47)/[1]TV!J29</f>
        <v>73.32569985958979</v>
      </c>
      <c r="W32" s="103">
        <f>(R27-R45)/N27</f>
        <v>76.075049695324566</v>
      </c>
    </row>
    <row r="33" spans="2:23" ht="14.4" x14ac:dyDescent="0.3">
      <c r="B33" s="102">
        <v>25</v>
      </c>
      <c r="C33" s="101">
        <v>5</v>
      </c>
      <c r="D33" s="124">
        <f>'Defunciones generales'!D84</f>
        <v>527</v>
      </c>
      <c r="E33" s="124">
        <f>Homicidios!D1224</f>
        <v>62</v>
      </c>
      <c r="F33" s="96">
        <f t="shared" si="11"/>
        <v>0.88235294117647056</v>
      </c>
      <c r="G33" s="126">
        <f>LT!H84</f>
        <v>98058.01</v>
      </c>
      <c r="H33" s="127">
        <f>1-LT!F84</f>
        <v>0.99644840000000001</v>
      </c>
      <c r="I33" s="100">
        <f t="shared" si="12"/>
        <v>3.5515999999999881E-3</v>
      </c>
      <c r="J33" s="130">
        <f>LT!G84</f>
        <v>2.5</v>
      </c>
      <c r="K33" s="131">
        <f>LT!L84</f>
        <v>55.286284999999999</v>
      </c>
      <c r="L33" s="100">
        <f t="shared" si="13"/>
        <v>0.99686557972747503</v>
      </c>
      <c r="M33" s="99">
        <f t="shared" si="14"/>
        <v>3.1344202725249737E-3</v>
      </c>
      <c r="N33" s="97">
        <f t="shared" si="20"/>
        <v>98146.154607303397</v>
      </c>
      <c r="O33" s="98">
        <f t="shared" si="15"/>
        <v>307.63129667150213</v>
      </c>
      <c r="P33" s="100">
        <f>(((-5/24)*O32)+((2.5)*O33)+((5/24)*O34))/O33</f>
        <v>2.5840296688235243</v>
      </c>
      <c r="Q33" s="97">
        <f t="shared" si="16"/>
        <v>489987.54495081725</v>
      </c>
      <c r="R33" s="97">
        <f t="shared" si="17"/>
        <v>5440648.8638795596</v>
      </c>
      <c r="S33" s="96">
        <f t="shared" si="18"/>
        <v>55.434152113736523</v>
      </c>
      <c r="T33" s="95">
        <f t="shared" si="19"/>
        <v>0.14786711373652395</v>
      </c>
      <c r="V33" s="104" t="s">
        <v>95</v>
      </c>
      <c r="W33" s="103">
        <f>W32-V32</f>
        <v>2.7493498357347761</v>
      </c>
    </row>
    <row r="34" spans="2:23" ht="14.4" x14ac:dyDescent="0.3">
      <c r="B34" s="102">
        <v>30</v>
      </c>
      <c r="C34" s="101">
        <v>5</v>
      </c>
      <c r="D34" s="124">
        <f>'Defunciones generales'!D85</f>
        <v>558</v>
      </c>
      <c r="E34" s="124">
        <f>Homicidios!D1225</f>
        <v>49</v>
      </c>
      <c r="F34" s="96">
        <f t="shared" si="11"/>
        <v>0.91218637992831542</v>
      </c>
      <c r="G34" s="126">
        <f>LT!H85</f>
        <v>97709.75</v>
      </c>
      <c r="H34" s="127">
        <f>1-LT!F85</f>
        <v>0.99597749999999996</v>
      </c>
      <c r="I34" s="100">
        <f t="shared" si="12"/>
        <v>4.0225000000000399E-3</v>
      </c>
      <c r="J34" s="130">
        <f>LT!G85</f>
        <v>2.5</v>
      </c>
      <c r="K34" s="131">
        <f>LT!L85</f>
        <v>50.474426000000001</v>
      </c>
      <c r="L34" s="100">
        <f t="shared" si="13"/>
        <v>0.99633008129092371</v>
      </c>
      <c r="M34" s="99">
        <f t="shared" si="14"/>
        <v>3.6699187090762919E-3</v>
      </c>
      <c r="N34" s="97">
        <f t="shared" si="20"/>
        <v>97838.523310631892</v>
      </c>
      <c r="O34" s="98">
        <f t="shared" si="15"/>
        <v>359.0594271660849</v>
      </c>
      <c r="P34" s="100">
        <f t="shared" ref="P34:P42" si="21">(((-5/24)*O33)+((2.5)*O34)+((5/24)*O35))/O34</f>
        <v>2.6162999739900812</v>
      </c>
      <c r="Q34" s="97">
        <f t="shared" si="16"/>
        <v>488336.72658728459</v>
      </c>
      <c r="R34" s="97">
        <f t="shared" si="17"/>
        <v>4950661.3189287428</v>
      </c>
      <c r="S34" s="96">
        <f t="shared" si="18"/>
        <v>50.600327472346116</v>
      </c>
      <c r="T34" s="95">
        <f t="shared" si="19"/>
        <v>0.12590147234611493</v>
      </c>
    </row>
    <row r="35" spans="2:23" ht="14.4" x14ac:dyDescent="0.3">
      <c r="B35" s="102">
        <v>35</v>
      </c>
      <c r="C35" s="101">
        <v>5</v>
      </c>
      <c r="D35" s="124">
        <f>'Defunciones generales'!D86</f>
        <v>717</v>
      </c>
      <c r="E35" s="124">
        <f>Homicidios!D1226</f>
        <v>40</v>
      </c>
      <c r="F35" s="96">
        <f t="shared" si="11"/>
        <v>0.94421199442119941</v>
      </c>
      <c r="G35" s="126">
        <f>LT!H86</f>
        <v>97316.72</v>
      </c>
      <c r="H35" s="127">
        <f>1-LT!F86</f>
        <v>0.99448080000000005</v>
      </c>
      <c r="I35" s="100">
        <f t="shared" si="12"/>
        <v>5.5191999999999464E-3</v>
      </c>
      <c r="J35" s="130">
        <f>LT!G86</f>
        <v>2.5</v>
      </c>
      <c r="K35" s="131">
        <f>LT!L86</f>
        <v>45.668180999999997</v>
      </c>
      <c r="L35" s="100">
        <f t="shared" si="13"/>
        <v>0.99478790130532135</v>
      </c>
      <c r="M35" s="99">
        <f t="shared" si="14"/>
        <v>5.2120986946786463E-3</v>
      </c>
      <c r="N35" s="97">
        <f t="shared" si="20"/>
        <v>97479.463883465811</v>
      </c>
      <c r="O35" s="98">
        <f t="shared" si="15"/>
        <v>508.07258646498639</v>
      </c>
      <c r="P35" s="100">
        <f t="shared" si="21"/>
        <v>2.6588670663675797</v>
      </c>
      <c r="Q35" s="97">
        <f t="shared" si="16"/>
        <v>486207.85395248007</v>
      </c>
      <c r="R35" s="97">
        <f t="shared" si="17"/>
        <v>4462324.5923414584</v>
      </c>
      <c r="S35" s="96">
        <f t="shared" si="18"/>
        <v>45.77707359650698</v>
      </c>
      <c r="T35" s="95">
        <f t="shared" si="19"/>
        <v>0.10889259650698335</v>
      </c>
    </row>
    <row r="36" spans="2:23" ht="14.4" x14ac:dyDescent="0.3">
      <c r="B36" s="102">
        <v>40</v>
      </c>
      <c r="C36" s="101">
        <v>5</v>
      </c>
      <c r="D36" s="124">
        <f>'Defunciones generales'!D87</f>
        <v>1005</v>
      </c>
      <c r="E36" s="124">
        <f>Homicidios!D1227</f>
        <v>41</v>
      </c>
      <c r="F36" s="96">
        <f t="shared" si="11"/>
        <v>0.95920398009950247</v>
      </c>
      <c r="G36" s="126">
        <f>LT!H87</f>
        <v>96779.6</v>
      </c>
      <c r="H36" s="127">
        <f>1-LT!F87</f>
        <v>0.99197579999999996</v>
      </c>
      <c r="I36" s="100">
        <f t="shared" si="12"/>
        <v>8.0242000000000369E-3</v>
      </c>
      <c r="J36" s="130">
        <f>LT!G87</f>
        <v>2.5</v>
      </c>
      <c r="K36" s="131">
        <f>LT!L87</f>
        <v>40.907758000000001</v>
      </c>
      <c r="L36" s="100">
        <f t="shared" si="13"/>
        <v>0.99230189209944974</v>
      </c>
      <c r="M36" s="99">
        <f t="shared" si="14"/>
        <v>7.6981079005502551E-3</v>
      </c>
      <c r="N36" s="97">
        <f t="shared" si="20"/>
        <v>96971.391297000824</v>
      </c>
      <c r="O36" s="98">
        <f t="shared" si="15"/>
        <v>746.49623347079228</v>
      </c>
      <c r="P36" s="100">
        <f t="shared" si="21"/>
        <v>2.7288893385111765</v>
      </c>
      <c r="Q36" s="97">
        <f t="shared" si="16"/>
        <v>483161.58093040733</v>
      </c>
      <c r="R36" s="97">
        <f t="shared" si="17"/>
        <v>3976116.7383889779</v>
      </c>
      <c r="S36" s="96">
        <f t="shared" si="18"/>
        <v>41.002987429674562</v>
      </c>
      <c r="T36" s="95">
        <f t="shared" si="19"/>
        <v>9.5229429674560606E-2</v>
      </c>
    </row>
    <row r="37" spans="2:23" ht="14.4" x14ac:dyDescent="0.3">
      <c r="B37" s="102">
        <v>45</v>
      </c>
      <c r="C37" s="101">
        <v>5</v>
      </c>
      <c r="D37" s="124">
        <f>'Defunciones generales'!D88</f>
        <v>1645</v>
      </c>
      <c r="E37" s="124">
        <f>Homicidios!D1228</f>
        <v>19</v>
      </c>
      <c r="F37" s="96">
        <f t="shared" si="11"/>
        <v>0.98844984802431612</v>
      </c>
      <c r="G37" s="126">
        <f>LT!H88</f>
        <v>96003.02</v>
      </c>
      <c r="H37" s="127">
        <f>1-LT!F88</f>
        <v>0.98603649999999998</v>
      </c>
      <c r="I37" s="100">
        <f t="shared" si="12"/>
        <v>1.3963500000000018E-2</v>
      </c>
      <c r="J37" s="130">
        <f>LT!G88</f>
        <v>2.5</v>
      </c>
      <c r="K37" s="131">
        <f>LT!L88</f>
        <v>36.218443999999998</v>
      </c>
      <c r="L37" s="100">
        <f t="shared" si="13"/>
        <v>0.98619666225488645</v>
      </c>
      <c r="M37" s="99">
        <f t="shared" si="14"/>
        <v>1.3803337745113553E-2</v>
      </c>
      <c r="N37" s="97">
        <f t="shared" si="20"/>
        <v>96224.895063530028</v>
      </c>
      <c r="O37" s="98">
        <f t="shared" si="15"/>
        <v>1328.2247260500149</v>
      </c>
      <c r="P37" s="100">
        <f t="shared" si="21"/>
        <v>2.6923033701115302</v>
      </c>
      <c r="Q37" s="97">
        <f t="shared" si="16"/>
        <v>478059.33559361001</v>
      </c>
      <c r="R37" s="97">
        <f t="shared" si="17"/>
        <v>3492955.1574585708</v>
      </c>
      <c r="S37" s="96">
        <f t="shared" si="18"/>
        <v>36.299911318712653</v>
      </c>
      <c r="T37" s="95">
        <f t="shared" si="19"/>
        <v>8.1467318712654446E-2</v>
      </c>
    </row>
    <row r="38" spans="2:23" ht="14.4" x14ac:dyDescent="0.3">
      <c r="B38" s="102">
        <v>50</v>
      </c>
      <c r="C38" s="101">
        <v>5</v>
      </c>
      <c r="D38" s="124">
        <f>'Defunciones generales'!D89</f>
        <v>2115</v>
      </c>
      <c r="E38" s="124">
        <f>Homicidios!D1229</f>
        <v>13</v>
      </c>
      <c r="F38" s="96">
        <f t="shared" si="11"/>
        <v>0.99385342789598108</v>
      </c>
      <c r="G38" s="126">
        <f>LT!H89</f>
        <v>94662.48</v>
      </c>
      <c r="H38" s="127">
        <f>1-LT!F89</f>
        <v>0.97908680000000003</v>
      </c>
      <c r="I38" s="100">
        <f t="shared" si="12"/>
        <v>2.0913199999999965E-2</v>
      </c>
      <c r="J38" s="130">
        <f>LT!G89</f>
        <v>2.5</v>
      </c>
      <c r="K38" s="131">
        <f>LT!L89</f>
        <v>31.695938000000002</v>
      </c>
      <c r="L38" s="100">
        <f t="shared" si="13"/>
        <v>0.97921399914598306</v>
      </c>
      <c r="M38" s="99">
        <f t="shared" si="14"/>
        <v>2.0786000854016939E-2</v>
      </c>
      <c r="N38" s="97">
        <f t="shared" si="20"/>
        <v>94896.670337480013</v>
      </c>
      <c r="O38" s="98">
        <f t="shared" si="15"/>
        <v>1972.5222706782235</v>
      </c>
      <c r="P38" s="100">
        <f t="shared" si="21"/>
        <v>2.6923199200053749</v>
      </c>
      <c r="Q38" s="97">
        <f t="shared" si="16"/>
        <v>469931.40133601014</v>
      </c>
      <c r="R38" s="97">
        <f t="shared" si="17"/>
        <v>3014895.8218649607</v>
      </c>
      <c r="S38" s="96">
        <f t="shared" si="18"/>
        <v>31.770301435689145</v>
      </c>
      <c r="T38" s="95">
        <f t="shared" si="19"/>
        <v>7.4363435689143387E-2</v>
      </c>
    </row>
    <row r="39" spans="2:23" ht="14.4" x14ac:dyDescent="0.3">
      <c r="B39" s="102">
        <v>55</v>
      </c>
      <c r="C39" s="101">
        <v>5</v>
      </c>
      <c r="D39" s="124">
        <f>'Defunciones generales'!D90</f>
        <v>2856</v>
      </c>
      <c r="E39" s="124">
        <f>Homicidios!D1230</f>
        <v>27</v>
      </c>
      <c r="F39" s="96">
        <f t="shared" si="11"/>
        <v>0.99054621848739499</v>
      </c>
      <c r="G39" s="126">
        <f>LT!H90</f>
        <v>92682.79</v>
      </c>
      <c r="H39" s="127">
        <f>1-LT!F90</f>
        <v>0.96579289999999995</v>
      </c>
      <c r="I39" s="100">
        <f t="shared" si="12"/>
        <v>3.4207100000000046E-2</v>
      </c>
      <c r="J39" s="130">
        <f>LT!G90</f>
        <v>2.5</v>
      </c>
      <c r="K39" s="131">
        <f>LT!L90</f>
        <v>27.319562000000001</v>
      </c>
      <c r="L39" s="100">
        <f t="shared" si="13"/>
        <v>0.96611074351466419</v>
      </c>
      <c r="M39" s="99">
        <f t="shared" si="14"/>
        <v>3.3889256485335806E-2</v>
      </c>
      <c r="N39" s="97">
        <f t="shared" si="20"/>
        <v>92924.14806680179</v>
      </c>
      <c r="O39" s="98">
        <f t="shared" si="15"/>
        <v>3149.1302875171673</v>
      </c>
      <c r="P39" s="100">
        <f t="shared" si="21"/>
        <v>2.6824090664273577</v>
      </c>
      <c r="Q39" s="97">
        <f t="shared" si="16"/>
        <v>457322.34453102015</v>
      </c>
      <c r="R39" s="97">
        <f t="shared" si="17"/>
        <v>2544964.4205289506</v>
      </c>
      <c r="S39" s="96">
        <f t="shared" si="18"/>
        <v>27.387546439483238</v>
      </c>
      <c r="T39" s="95">
        <f t="shared" si="19"/>
        <v>6.7984439483236514E-2</v>
      </c>
    </row>
    <row r="40" spans="2:23" ht="14.4" x14ac:dyDescent="0.3">
      <c r="B40" s="102">
        <v>60</v>
      </c>
      <c r="C40" s="101">
        <v>5</v>
      </c>
      <c r="D40" s="124">
        <f>'Defunciones generales'!D91</f>
        <v>3416</v>
      </c>
      <c r="E40" s="124">
        <f>Homicidios!D1231</f>
        <v>11</v>
      </c>
      <c r="F40" s="96">
        <f t="shared" si="11"/>
        <v>0.99677985948477754</v>
      </c>
      <c r="G40" s="126">
        <f>LT!H91</f>
        <v>89512.37</v>
      </c>
      <c r="H40" s="127">
        <f>1-LT!F91</f>
        <v>0.94714949999999998</v>
      </c>
      <c r="I40" s="100">
        <f t="shared" si="12"/>
        <v>5.2850500000000022E-2</v>
      </c>
      <c r="J40" s="130">
        <f>LT!G91</f>
        <v>2.5</v>
      </c>
      <c r="K40" s="131">
        <f>LT!L91</f>
        <v>23.198637999999999</v>
      </c>
      <c r="L40" s="100">
        <f t="shared" si="13"/>
        <v>0.94731512191769907</v>
      </c>
      <c r="M40" s="99">
        <f t="shared" si="14"/>
        <v>5.2684878082300934E-2</v>
      </c>
      <c r="N40" s="97">
        <f t="shared" si="20"/>
        <v>89775.017779284623</v>
      </c>
      <c r="O40" s="98">
        <f t="shared" si="15"/>
        <v>4729.785866538009</v>
      </c>
      <c r="P40" s="100">
        <f t="shared" si="21"/>
        <v>2.6569731767274378</v>
      </c>
      <c r="Q40" s="97">
        <f t="shared" si="16"/>
        <v>437793.0737427891</v>
      </c>
      <c r="R40" s="97">
        <f t="shared" si="17"/>
        <v>2087642.0759979305</v>
      </c>
      <c r="S40" s="96">
        <f t="shared" si="18"/>
        <v>23.25415385748494</v>
      </c>
      <c r="T40" s="95">
        <f t="shared" si="19"/>
        <v>5.5515857484941478E-2</v>
      </c>
    </row>
    <row r="41" spans="2:23" ht="14.4" x14ac:dyDescent="0.3">
      <c r="B41" s="102">
        <v>65</v>
      </c>
      <c r="C41" s="101">
        <v>5</v>
      </c>
      <c r="D41" s="124">
        <f>'Defunciones generales'!D92</f>
        <v>3723</v>
      </c>
      <c r="E41" s="124">
        <f>Homicidios!D1232</f>
        <v>4</v>
      </c>
      <c r="F41" s="96">
        <f t="shared" si="11"/>
        <v>0.99892559763631483</v>
      </c>
      <c r="G41" s="126">
        <f>LT!H92</f>
        <v>84781.6</v>
      </c>
      <c r="H41" s="127">
        <f>1-LT!F92</f>
        <v>0.92098539999999995</v>
      </c>
      <c r="I41" s="100">
        <f t="shared" si="12"/>
        <v>7.9014600000000046E-2</v>
      </c>
      <c r="J41" s="130">
        <f>LT!G92</f>
        <v>2.5</v>
      </c>
      <c r="K41" s="131">
        <f>LT!L92</f>
        <v>19.353611000000001</v>
      </c>
      <c r="L41" s="100">
        <f t="shared" si="13"/>
        <v>0.92106685116201226</v>
      </c>
      <c r="M41" s="99">
        <f t="shared" si="14"/>
        <v>7.8933148837987743E-2</v>
      </c>
      <c r="N41" s="97">
        <f t="shared" si="20"/>
        <v>85045.231912746618</v>
      </c>
      <c r="O41" s="98">
        <f t="shared" si="15"/>
        <v>6712.887948530014</v>
      </c>
      <c r="P41" s="100">
        <f t="shared" si="21"/>
        <v>2.6226105177685453</v>
      </c>
      <c r="Q41" s="97">
        <f t="shared" si="16"/>
        <v>409267.01035949955</v>
      </c>
      <c r="R41" s="97">
        <f t="shared" si="17"/>
        <v>1649849.0022551413</v>
      </c>
      <c r="S41" s="96">
        <f t="shared" si="18"/>
        <v>19.399664921224833</v>
      </c>
      <c r="T41" s="95">
        <f t="shared" si="19"/>
        <v>4.6053921224832095E-2</v>
      </c>
    </row>
    <row r="42" spans="2:23" ht="14.4" x14ac:dyDescent="0.3">
      <c r="B42" s="102">
        <v>70</v>
      </c>
      <c r="C42" s="101">
        <v>5</v>
      </c>
      <c r="D42" s="124">
        <f>'Defunciones generales'!D93</f>
        <v>3898</v>
      </c>
      <c r="E42" s="124">
        <f>Homicidios!D1233</f>
        <v>6</v>
      </c>
      <c r="F42" s="96">
        <f t="shared" si="11"/>
        <v>0.9984607491021037</v>
      </c>
      <c r="G42" s="126">
        <f>LT!H93</f>
        <v>78082.62</v>
      </c>
      <c r="H42" s="127">
        <f>1-LT!F93</f>
        <v>0.88902239999999999</v>
      </c>
      <c r="I42" s="100">
        <f t="shared" si="12"/>
        <v>0.11097760000000001</v>
      </c>
      <c r="J42" s="130">
        <f>LT!G93</f>
        <v>2.5</v>
      </c>
      <c r="K42" s="131">
        <f>LT!L93</f>
        <v>15.799542000000001</v>
      </c>
      <c r="L42" s="100">
        <f t="shared" si="13"/>
        <v>0.88918338671771946</v>
      </c>
      <c r="M42" s="99">
        <f t="shared" si="14"/>
        <v>0.11081661328228054</v>
      </c>
      <c r="N42" s="97">
        <f t="shared" si="20"/>
        <v>78332.343964216605</v>
      </c>
      <c r="O42" s="98">
        <f t="shared" si="15"/>
        <v>8680.5250685771734</v>
      </c>
      <c r="P42" s="100">
        <f t="shared" si="21"/>
        <v>2.6190452803148441</v>
      </c>
      <c r="Q42" s="97">
        <f t="shared" si="16"/>
        <v>370993.78268970887</v>
      </c>
      <c r="R42" s="97">
        <f t="shared" si="17"/>
        <v>1240581.9918956417</v>
      </c>
      <c r="S42" s="96">
        <f t="shared" si="18"/>
        <v>15.837416948257776</v>
      </c>
      <c r="T42" s="95">
        <f t="shared" si="19"/>
        <v>3.7874948257774932E-2</v>
      </c>
    </row>
    <row r="43" spans="2:23" ht="14.4" x14ac:dyDescent="0.3">
      <c r="B43" s="102">
        <v>75</v>
      </c>
      <c r="C43" s="101">
        <v>5</v>
      </c>
      <c r="D43" s="124">
        <f>'Defunciones generales'!D94</f>
        <v>4166</v>
      </c>
      <c r="E43" s="124">
        <f>Homicidios!D1234</f>
        <v>5</v>
      </c>
      <c r="F43" s="96">
        <f t="shared" si="11"/>
        <v>0.99879980796927503</v>
      </c>
      <c r="G43" s="126">
        <f>LT!H94</f>
        <v>69417.2</v>
      </c>
      <c r="H43" s="127">
        <f>1-LT!F94</f>
        <v>0.83222450000000003</v>
      </c>
      <c r="I43" s="100">
        <f t="shared" si="12"/>
        <v>0.16777549999999997</v>
      </c>
      <c r="J43" s="130">
        <f>LT!G94</f>
        <v>2.5</v>
      </c>
      <c r="K43" s="131">
        <f>LT!L94</f>
        <v>12.459737000000001</v>
      </c>
      <c r="L43" s="100">
        <f t="shared" si="13"/>
        <v>0.83240795824226421</v>
      </c>
      <c r="M43" s="99">
        <f t="shared" si="14"/>
        <v>0.16759204175773579</v>
      </c>
      <c r="N43" s="97">
        <f t="shared" si="20"/>
        <v>69651.81889563943</v>
      </c>
      <c r="O43" s="98">
        <f t="shared" si="15"/>
        <v>11673.090540860254</v>
      </c>
      <c r="P43" s="100">
        <f>(((-5/24)*O42)+((2.5)*O43)+((5/24)*O44))/O43</f>
        <v>2.6233263846397428</v>
      </c>
      <c r="Q43" s="97">
        <f t="shared" si="16"/>
        <v>320515.96818002319</v>
      </c>
      <c r="R43" s="97">
        <f t="shared" si="17"/>
        <v>869588.20920593292</v>
      </c>
      <c r="S43" s="96">
        <f t="shared" si="18"/>
        <v>12.484788236597993</v>
      </c>
      <c r="T43" s="95">
        <f t="shared" si="19"/>
        <v>2.5051236597992244E-2</v>
      </c>
    </row>
    <row r="44" spans="2:23" ht="14.4" x14ac:dyDescent="0.3">
      <c r="B44" s="102">
        <v>80</v>
      </c>
      <c r="C44" s="101">
        <v>5</v>
      </c>
      <c r="D44" s="124">
        <f>'Defunciones generales'!D95</f>
        <v>4347</v>
      </c>
      <c r="E44" s="124">
        <f>Homicidios!D1235</f>
        <v>5</v>
      </c>
      <c r="F44" s="96">
        <f t="shared" si="11"/>
        <v>0.99884978145847714</v>
      </c>
      <c r="G44" s="126">
        <f>LT!H95</f>
        <v>57770.69</v>
      </c>
      <c r="H44" s="127">
        <f>1-LT!F95</f>
        <v>0.73083419999999999</v>
      </c>
      <c r="I44" s="100">
        <f t="shared" si="12"/>
        <v>0.26916580000000001</v>
      </c>
      <c r="J44" s="130">
        <f>LT!G95</f>
        <v>2.5</v>
      </c>
      <c r="K44" s="131">
        <f>LT!L95</f>
        <v>9.4676089999999995</v>
      </c>
      <c r="L44" s="100">
        <f t="shared" si="13"/>
        <v>0.73109783932713512</v>
      </c>
      <c r="M44" s="99">
        <f t="shared" si="14"/>
        <v>0.26890216067286488</v>
      </c>
      <c r="N44" s="97">
        <f t="shared" si="20"/>
        <v>57978.728354779174</v>
      </c>
      <c r="O44" s="98">
        <f t="shared" si="15"/>
        <v>15590.605327665216</v>
      </c>
      <c r="P44" s="98">
        <f>C44+(F44*(I44/M44)*(J44-C44))</f>
        <v>2.5004272945097732</v>
      </c>
      <c r="Q44" s="97">
        <f t="shared" si="16"/>
        <v>250923.79023479339</v>
      </c>
      <c r="R44" s="97">
        <f t="shared" si="17"/>
        <v>549072.24102590978</v>
      </c>
      <c r="S44" s="96">
        <f t="shared" si="18"/>
        <v>9.4702360090767641</v>
      </c>
      <c r="T44" s="95">
        <f t="shared" si="19"/>
        <v>2.6270090767646082E-3</v>
      </c>
    </row>
    <row r="45" spans="2:23" ht="14.4" x14ac:dyDescent="0.3">
      <c r="B45" s="94">
        <v>85</v>
      </c>
      <c r="C45" s="93">
        <v>5</v>
      </c>
      <c r="D45" s="125">
        <f>'Defunciones generales'!D96</f>
        <v>8379</v>
      </c>
      <c r="E45" s="125">
        <f>Homicidios!D1236</f>
        <v>3</v>
      </c>
      <c r="F45" s="88">
        <f t="shared" si="11"/>
        <v>0.99964196204797706</v>
      </c>
      <c r="G45" s="128">
        <f>LT!H96</f>
        <v>42220.800000000003</v>
      </c>
      <c r="H45" s="129">
        <f>1-LT!F96</f>
        <v>0</v>
      </c>
      <c r="I45" s="92">
        <f t="shared" si="12"/>
        <v>1</v>
      </c>
      <c r="J45" s="132">
        <f>LT!G96</f>
        <v>2.5</v>
      </c>
      <c r="K45" s="133">
        <f>LT!L96</f>
        <v>7.0337750000000003</v>
      </c>
      <c r="L45" s="92">
        <f t="shared" si="13"/>
        <v>0</v>
      </c>
      <c r="M45" s="91">
        <f t="shared" si="14"/>
        <v>1</v>
      </c>
      <c r="N45" s="89">
        <f t="shared" si="20"/>
        <v>42388.123027113958</v>
      </c>
      <c r="O45" s="90">
        <f t="shared" si="15"/>
        <v>42388.123027113958</v>
      </c>
      <c r="P45" s="92">
        <f>K45/F45</f>
        <v>7.0362942603868204</v>
      </c>
      <c r="Q45" s="133">
        <f>N45/LT!E96</f>
        <v>298148.45079111634</v>
      </c>
      <c r="R45" s="89">
        <f>Q45</f>
        <v>298148.45079111634</v>
      </c>
      <c r="S45" s="88">
        <f t="shared" si="18"/>
        <v>7.0337733661951232</v>
      </c>
      <c r="T45" s="87">
        <f t="shared" si="19"/>
        <v>-1.6338048771658009E-6</v>
      </c>
    </row>
  </sheetData>
  <mergeCells count="4">
    <mergeCell ref="V28:W30"/>
    <mergeCell ref="B24:T24"/>
    <mergeCell ref="B2:T2"/>
    <mergeCell ref="V5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dimension ref="A1:L97"/>
  <sheetViews>
    <sheetView topLeftCell="A79" workbookViewId="0">
      <selection activeCell="L78" sqref="L78:L96"/>
    </sheetView>
  </sheetViews>
  <sheetFormatPr baseColWidth="10" defaultRowHeight="14.4" x14ac:dyDescent="0.3"/>
  <sheetData>
    <row r="1" spans="1:12" x14ac:dyDescent="0.3">
      <c r="A1" t="s">
        <v>122</v>
      </c>
      <c r="B1" t="s">
        <v>116</v>
      </c>
      <c r="C1" t="s">
        <v>117</v>
      </c>
      <c r="D1" t="s">
        <v>118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</row>
    <row r="2" spans="1:12" x14ac:dyDescent="0.3">
      <c r="H2" s="140"/>
    </row>
    <row r="21" spans="1:12" x14ac:dyDescent="0.3">
      <c r="A21" s="138" t="s">
        <v>131</v>
      </c>
      <c r="B21" s="138">
        <v>2019</v>
      </c>
      <c r="C21" s="138" t="s">
        <v>132</v>
      </c>
      <c r="D21" s="138">
        <v>0</v>
      </c>
      <c r="E21" s="138">
        <v>1.37235E-2</v>
      </c>
      <c r="F21" s="138">
        <v>1.3554500000000001E-2</v>
      </c>
      <c r="G21" s="138">
        <v>9.1425900000000004E-2</v>
      </c>
      <c r="H21" s="142">
        <v>100000</v>
      </c>
      <c r="I21" s="138">
        <v>1355.454</v>
      </c>
      <c r="J21" s="138">
        <v>98768.47</v>
      </c>
      <c r="K21" s="138">
        <v>7776430.5</v>
      </c>
      <c r="L21" s="138">
        <v>77.764304999999993</v>
      </c>
    </row>
    <row r="22" spans="1:12" x14ac:dyDescent="0.3">
      <c r="A22" s="138" t="s">
        <v>131</v>
      </c>
      <c r="B22" s="138">
        <v>2019</v>
      </c>
      <c r="C22" s="138" t="s">
        <v>132</v>
      </c>
      <c r="D22" s="138">
        <v>1</v>
      </c>
      <c r="E22" s="138">
        <v>4.8220000000000001E-4</v>
      </c>
      <c r="F22" s="138">
        <v>1.9264E-3</v>
      </c>
      <c r="G22" s="138">
        <v>1.5428322999999999</v>
      </c>
      <c r="H22" s="138">
        <v>98644.55</v>
      </c>
      <c r="I22" s="138">
        <v>190.03299999999999</v>
      </c>
      <c r="J22" s="138">
        <v>394111.24</v>
      </c>
      <c r="K22" s="138">
        <v>7677662.0999999996</v>
      </c>
      <c r="L22" s="138">
        <v>77.831592000000001</v>
      </c>
    </row>
    <row r="23" spans="1:12" x14ac:dyDescent="0.3">
      <c r="A23" s="138" t="s">
        <v>131</v>
      </c>
      <c r="B23" s="138">
        <v>2019</v>
      </c>
      <c r="C23" s="138" t="s">
        <v>132</v>
      </c>
      <c r="D23" s="138">
        <v>5</v>
      </c>
      <c r="E23" s="138">
        <v>2.285E-4</v>
      </c>
      <c r="F23" s="138">
        <v>1.1421000000000001E-3</v>
      </c>
      <c r="G23" s="138">
        <v>2.5</v>
      </c>
      <c r="H23" s="138">
        <v>98454.51</v>
      </c>
      <c r="I23" s="138">
        <v>112.4434</v>
      </c>
      <c r="J23" s="138">
        <v>491991.46</v>
      </c>
      <c r="K23" s="138">
        <v>7283550.7999999998</v>
      </c>
      <c r="L23" s="138">
        <v>73.978842</v>
      </c>
    </row>
    <row r="24" spans="1:12" x14ac:dyDescent="0.3">
      <c r="A24" s="138" t="s">
        <v>131</v>
      </c>
      <c r="B24" s="138">
        <v>2019</v>
      </c>
      <c r="C24" s="138" t="s">
        <v>132</v>
      </c>
      <c r="D24" s="138">
        <v>10</v>
      </c>
      <c r="E24" s="138">
        <v>2.6699999999999998E-4</v>
      </c>
      <c r="F24" s="138">
        <v>1.3339000000000001E-3</v>
      </c>
      <c r="G24" s="138">
        <v>2.5</v>
      </c>
      <c r="H24" s="138">
        <v>98342.07</v>
      </c>
      <c r="I24" s="138">
        <v>131.18109999999999</v>
      </c>
      <c r="J24" s="138">
        <v>491382.4</v>
      </c>
      <c r="K24" s="138">
        <v>6791559.4000000004</v>
      </c>
      <c r="L24" s="138">
        <v>69.060569999999998</v>
      </c>
    </row>
    <row r="25" spans="1:12" x14ac:dyDescent="0.3">
      <c r="A25" s="138" t="s">
        <v>131</v>
      </c>
      <c r="B25" s="138">
        <v>2019</v>
      </c>
      <c r="C25" s="138" t="s">
        <v>132</v>
      </c>
      <c r="D25" s="138">
        <v>15</v>
      </c>
      <c r="E25" s="138">
        <v>4.7770000000000001E-4</v>
      </c>
      <c r="F25" s="138">
        <v>2.3858999999999998E-3</v>
      </c>
      <c r="G25" s="138">
        <v>2.5</v>
      </c>
      <c r="H25" s="138">
        <v>98210.89</v>
      </c>
      <c r="I25" s="138">
        <v>234.3169</v>
      </c>
      <c r="J25" s="138">
        <v>490468.65</v>
      </c>
      <c r="K25" s="138">
        <v>6300177</v>
      </c>
      <c r="L25" s="138">
        <v>64.149474999999995</v>
      </c>
    </row>
    <row r="26" spans="1:12" x14ac:dyDescent="0.3">
      <c r="A26" s="138" t="s">
        <v>131</v>
      </c>
      <c r="B26" s="138">
        <v>2019</v>
      </c>
      <c r="C26" s="138" t="s">
        <v>132</v>
      </c>
      <c r="D26" s="138">
        <v>20</v>
      </c>
      <c r="E26" s="138">
        <v>5.576E-4</v>
      </c>
      <c r="F26" s="138">
        <v>2.7839000000000002E-3</v>
      </c>
      <c r="G26" s="138">
        <v>2.5</v>
      </c>
      <c r="H26" s="138">
        <v>97976.57</v>
      </c>
      <c r="I26" s="138">
        <v>272.7586</v>
      </c>
      <c r="J26" s="138">
        <v>489200.96</v>
      </c>
      <c r="K26" s="138">
        <v>5809708.2999999998</v>
      </c>
      <c r="L26" s="138">
        <v>59.296914000000001</v>
      </c>
    </row>
    <row r="27" spans="1:12" x14ac:dyDescent="0.3">
      <c r="A27" s="138" t="s">
        <v>131</v>
      </c>
      <c r="B27" s="138">
        <v>2019</v>
      </c>
      <c r="C27" s="138" t="s">
        <v>132</v>
      </c>
      <c r="D27" s="138">
        <v>25</v>
      </c>
      <c r="E27" s="138">
        <v>5.6780000000000003E-4</v>
      </c>
      <c r="F27" s="138">
        <v>2.8348000000000002E-3</v>
      </c>
      <c r="G27" s="138">
        <v>2.5</v>
      </c>
      <c r="H27" s="138">
        <v>97703.81</v>
      </c>
      <c r="I27" s="138">
        <v>276.96969999999999</v>
      </c>
      <c r="J27" s="138">
        <v>487826.64</v>
      </c>
      <c r="K27" s="138">
        <v>5320507.4000000004</v>
      </c>
      <c r="L27" s="138">
        <v>54.455472999999998</v>
      </c>
    </row>
    <row r="28" spans="1:12" x14ac:dyDescent="0.3">
      <c r="A28" s="138" t="s">
        <v>131</v>
      </c>
      <c r="B28" s="138">
        <v>2019</v>
      </c>
      <c r="C28" s="138" t="s">
        <v>132</v>
      </c>
      <c r="D28" s="138">
        <v>30</v>
      </c>
      <c r="E28" s="138">
        <v>6.9620000000000001E-4</v>
      </c>
      <c r="F28" s="138">
        <v>3.4751000000000001E-3</v>
      </c>
      <c r="G28" s="138">
        <v>2.5</v>
      </c>
      <c r="H28" s="138">
        <v>97426.84</v>
      </c>
      <c r="I28" s="138">
        <v>338.56560000000002</v>
      </c>
      <c r="J28" s="138">
        <v>486287.8</v>
      </c>
      <c r="K28" s="138">
        <v>4832680.7</v>
      </c>
      <c r="L28" s="138">
        <v>49.603175</v>
      </c>
    </row>
    <row r="29" spans="1:12" x14ac:dyDescent="0.3">
      <c r="A29" s="138" t="s">
        <v>131</v>
      </c>
      <c r="B29" s="138">
        <v>2019</v>
      </c>
      <c r="C29" s="138" t="s">
        <v>132</v>
      </c>
      <c r="D29" s="138">
        <v>35</v>
      </c>
      <c r="E29" s="138">
        <v>1.0501E-3</v>
      </c>
      <c r="F29" s="138">
        <v>5.2367000000000004E-3</v>
      </c>
      <c r="G29" s="138">
        <v>2.5</v>
      </c>
      <c r="H29" s="138">
        <v>97088.28</v>
      </c>
      <c r="I29" s="138">
        <v>508.42579999999998</v>
      </c>
      <c r="J29" s="138">
        <v>484170.32</v>
      </c>
      <c r="K29" s="138">
        <v>4346392.9000000004</v>
      </c>
      <c r="L29" s="138">
        <v>44.767431999999999</v>
      </c>
    </row>
    <row r="30" spans="1:12" x14ac:dyDescent="0.3">
      <c r="A30" s="138" t="s">
        <v>131</v>
      </c>
      <c r="B30" s="138">
        <v>2019</v>
      </c>
      <c r="C30" s="138" t="s">
        <v>132</v>
      </c>
      <c r="D30" s="138">
        <v>40</v>
      </c>
      <c r="E30" s="138">
        <v>1.6178E-3</v>
      </c>
      <c r="F30" s="138">
        <v>8.0564E-3</v>
      </c>
      <c r="G30" s="138">
        <v>2.5</v>
      </c>
      <c r="H30" s="138">
        <v>96579.85</v>
      </c>
      <c r="I30" s="138">
        <v>778.0856</v>
      </c>
      <c r="J30" s="138">
        <v>480954.05</v>
      </c>
      <c r="K30" s="138">
        <v>3862222.6</v>
      </c>
      <c r="L30" s="138">
        <v>39.989941000000002</v>
      </c>
    </row>
    <row r="31" spans="1:12" x14ac:dyDescent="0.3">
      <c r="A31" s="138" t="s">
        <v>131</v>
      </c>
      <c r="B31" s="138">
        <v>2019</v>
      </c>
      <c r="C31" s="138" t="s">
        <v>132</v>
      </c>
      <c r="D31" s="138">
        <v>45</v>
      </c>
      <c r="E31" s="138">
        <v>2.8614999999999999E-3</v>
      </c>
      <c r="F31" s="138">
        <v>1.4205799999999999E-2</v>
      </c>
      <c r="G31" s="138">
        <v>2.5</v>
      </c>
      <c r="H31" s="138">
        <v>95801.77</v>
      </c>
      <c r="I31" s="138">
        <v>1360.9426000000001</v>
      </c>
      <c r="J31" s="138">
        <v>475606.48</v>
      </c>
      <c r="K31" s="138">
        <v>3381268.5</v>
      </c>
      <c r="L31" s="138">
        <v>35.294428000000003</v>
      </c>
    </row>
    <row r="32" spans="1:12" x14ac:dyDescent="0.3">
      <c r="A32" s="138" t="s">
        <v>131</v>
      </c>
      <c r="B32" s="138">
        <v>2019</v>
      </c>
      <c r="C32" s="138" t="s">
        <v>132</v>
      </c>
      <c r="D32" s="138">
        <v>50</v>
      </c>
      <c r="E32" s="138">
        <v>4.5482999999999999E-3</v>
      </c>
      <c r="F32" s="138">
        <v>2.2485999999999999E-2</v>
      </c>
      <c r="G32" s="138">
        <v>2.5</v>
      </c>
      <c r="H32" s="138">
        <v>94440.82</v>
      </c>
      <c r="I32" s="138">
        <v>2123.5997000000002</v>
      </c>
      <c r="J32" s="138">
        <v>466895.12</v>
      </c>
      <c r="K32" s="138">
        <v>2905662.1</v>
      </c>
      <c r="L32" s="138">
        <v>30.767012999999999</v>
      </c>
    </row>
    <row r="33" spans="1:12" x14ac:dyDescent="0.3">
      <c r="A33" s="138" t="s">
        <v>131</v>
      </c>
      <c r="B33" s="138">
        <v>2019</v>
      </c>
      <c r="C33" s="138" t="s">
        <v>132</v>
      </c>
      <c r="D33" s="138">
        <v>55</v>
      </c>
      <c r="E33" s="138">
        <v>7.4314999999999997E-3</v>
      </c>
      <c r="F33" s="138">
        <v>3.6479699999999997E-2</v>
      </c>
      <c r="G33" s="138">
        <v>2.5</v>
      </c>
      <c r="H33" s="138">
        <v>92317.22</v>
      </c>
      <c r="I33" s="138">
        <v>3367.7062000000001</v>
      </c>
      <c r="J33" s="138">
        <v>453166.86</v>
      </c>
      <c r="K33" s="138">
        <v>2438766.9</v>
      </c>
      <c r="L33" s="138">
        <v>26.417247</v>
      </c>
    </row>
    <row r="34" spans="1:12" x14ac:dyDescent="0.3">
      <c r="A34" s="138" t="s">
        <v>131</v>
      </c>
      <c r="B34" s="138">
        <v>2019</v>
      </c>
      <c r="C34" s="138" t="s">
        <v>132</v>
      </c>
      <c r="D34" s="138">
        <v>60</v>
      </c>
      <c r="E34" s="138">
        <v>1.19495E-2</v>
      </c>
      <c r="F34" s="138">
        <v>5.8014299999999998E-2</v>
      </c>
      <c r="G34" s="138">
        <v>2.5</v>
      </c>
      <c r="H34" s="138">
        <v>88949.52</v>
      </c>
      <c r="I34" s="138">
        <v>5160.3441999999995</v>
      </c>
      <c r="J34" s="138">
        <v>431846.73</v>
      </c>
      <c r="K34" s="138">
        <v>1985600.1</v>
      </c>
      <c r="L34" s="138">
        <v>22.322775</v>
      </c>
    </row>
    <row r="35" spans="1:12" x14ac:dyDescent="0.3">
      <c r="A35" s="138" t="s">
        <v>131</v>
      </c>
      <c r="B35" s="138">
        <v>2019</v>
      </c>
      <c r="C35" s="138" t="s">
        <v>132</v>
      </c>
      <c r="D35" s="138">
        <v>65</v>
      </c>
      <c r="E35" s="138">
        <v>1.64148E-2</v>
      </c>
      <c r="F35" s="138">
        <v>7.8838500000000006E-2</v>
      </c>
      <c r="G35" s="138">
        <v>2.5</v>
      </c>
      <c r="H35" s="138">
        <v>83789.17</v>
      </c>
      <c r="I35" s="138">
        <v>6605.8101999999999</v>
      </c>
      <c r="J35" s="138">
        <v>402431.34</v>
      </c>
      <c r="K35" s="138">
        <v>1553753.4</v>
      </c>
      <c r="L35" s="138">
        <v>18.543604999999999</v>
      </c>
    </row>
    <row r="36" spans="1:12" x14ac:dyDescent="0.3">
      <c r="A36" s="138" t="s">
        <v>131</v>
      </c>
      <c r="B36" s="138">
        <v>2019</v>
      </c>
      <c r="C36" s="138" t="s">
        <v>132</v>
      </c>
      <c r="D36" s="138">
        <v>70</v>
      </c>
      <c r="E36" s="138">
        <v>2.5655899999999999E-2</v>
      </c>
      <c r="F36" s="138">
        <v>0.12054769999999999</v>
      </c>
      <c r="G36" s="138">
        <v>2.5</v>
      </c>
      <c r="H36" s="138">
        <v>77183.360000000001</v>
      </c>
      <c r="I36" s="138">
        <v>9304.2795999999998</v>
      </c>
      <c r="J36" s="138">
        <v>362656.12</v>
      </c>
      <c r="K36" s="138">
        <v>1151322</v>
      </c>
      <c r="L36" s="138">
        <v>14.916712</v>
      </c>
    </row>
    <row r="37" spans="1:12" x14ac:dyDescent="0.3">
      <c r="A37" s="138" t="s">
        <v>131</v>
      </c>
      <c r="B37" s="138">
        <v>2019</v>
      </c>
      <c r="C37" s="138" t="s">
        <v>132</v>
      </c>
      <c r="D37" s="138">
        <v>75</v>
      </c>
      <c r="E37" s="138">
        <v>4.2801499999999999E-2</v>
      </c>
      <c r="F37" s="138">
        <v>0.1933214</v>
      </c>
      <c r="G37" s="138">
        <v>2.5</v>
      </c>
      <c r="H37" s="138">
        <v>67879.08</v>
      </c>
      <c r="I37" s="138">
        <v>13122.4799</v>
      </c>
      <c r="J37" s="138">
        <v>306589.21999999997</v>
      </c>
      <c r="K37" s="138">
        <v>788665.9</v>
      </c>
      <c r="L37" s="138">
        <v>11.618688000000001</v>
      </c>
    </row>
    <row r="38" spans="1:12" x14ac:dyDescent="0.3">
      <c r="A38" s="138" t="s">
        <v>131</v>
      </c>
      <c r="B38" s="138">
        <v>2019</v>
      </c>
      <c r="C38" s="138" t="s">
        <v>132</v>
      </c>
      <c r="D38" s="138">
        <v>80</v>
      </c>
      <c r="E38" s="138">
        <v>7.0164500000000005E-2</v>
      </c>
      <c r="F38" s="138">
        <v>0.29846790000000001</v>
      </c>
      <c r="G38" s="138">
        <v>2.5</v>
      </c>
      <c r="H38" s="138">
        <v>54756.6</v>
      </c>
      <c r="I38" s="138">
        <v>16343.0897</v>
      </c>
      <c r="J38" s="138">
        <v>232925.3</v>
      </c>
      <c r="K38" s="138">
        <v>482076.7</v>
      </c>
      <c r="L38" s="138">
        <v>8.8039919999999992</v>
      </c>
    </row>
    <row r="39" spans="1:12" x14ac:dyDescent="0.3">
      <c r="A39" s="138" t="s">
        <v>131</v>
      </c>
      <c r="B39" s="138">
        <v>2019</v>
      </c>
      <c r="C39" s="138" t="s">
        <v>132</v>
      </c>
      <c r="D39" s="138">
        <v>85</v>
      </c>
      <c r="E39" s="138">
        <v>0.15417739999999999</v>
      </c>
      <c r="F39" s="138">
        <v>1</v>
      </c>
      <c r="G39" s="138">
        <v>2.5</v>
      </c>
      <c r="H39" s="138">
        <v>38413.51</v>
      </c>
      <c r="I39" s="138">
        <v>38413.514300000003</v>
      </c>
      <c r="J39" s="138">
        <v>249151.38</v>
      </c>
      <c r="K39" s="138">
        <v>249151.4</v>
      </c>
      <c r="L39" s="138">
        <v>6.4860340000000001</v>
      </c>
    </row>
    <row r="40" spans="1:12" x14ac:dyDescent="0.3">
      <c r="H40" s="140"/>
    </row>
    <row r="59" spans="8:8" x14ac:dyDescent="0.3">
      <c r="H59" s="140"/>
    </row>
    <row r="78" spans="1:12" x14ac:dyDescent="0.3">
      <c r="A78" s="139" t="s">
        <v>131</v>
      </c>
      <c r="B78" s="139">
        <v>2019</v>
      </c>
      <c r="C78" s="139" t="s">
        <v>133</v>
      </c>
      <c r="D78" s="139">
        <v>0</v>
      </c>
      <c r="E78" s="139">
        <v>1.0666800000000001E-2</v>
      </c>
      <c r="F78" s="139">
        <v>1.0563400000000001E-2</v>
      </c>
      <c r="G78" s="139">
        <v>8.2866999999999996E-2</v>
      </c>
      <c r="H78" s="143">
        <v>100000</v>
      </c>
      <c r="I78" s="139">
        <v>1056.34285</v>
      </c>
      <c r="J78" s="139">
        <v>99031.19</v>
      </c>
      <c r="K78" s="139">
        <v>7885451.0999999996</v>
      </c>
      <c r="L78" s="139">
        <v>78.854511000000002</v>
      </c>
    </row>
    <row r="79" spans="1:12" x14ac:dyDescent="0.3">
      <c r="A79" s="139" t="s">
        <v>131</v>
      </c>
      <c r="B79" s="139">
        <v>2019</v>
      </c>
      <c r="C79" s="139" t="s">
        <v>133</v>
      </c>
      <c r="D79" s="139">
        <v>1</v>
      </c>
      <c r="E79" s="139">
        <v>4.6260000000000002E-4</v>
      </c>
      <c r="F79" s="139">
        <v>1.8484E-3</v>
      </c>
      <c r="G79" s="139">
        <v>1.538192</v>
      </c>
      <c r="H79" s="139">
        <v>98943.66</v>
      </c>
      <c r="I79" s="139">
        <v>182.88715999999999</v>
      </c>
      <c r="J79" s="139">
        <v>395324.4</v>
      </c>
      <c r="K79" s="139">
        <v>7786419.9000000004</v>
      </c>
      <c r="L79" s="139">
        <v>78.695492999999999</v>
      </c>
    </row>
    <row r="80" spans="1:12" x14ac:dyDescent="0.3">
      <c r="A80" s="139" t="s">
        <v>131</v>
      </c>
      <c r="B80" s="139">
        <v>2019</v>
      </c>
      <c r="C80" s="139" t="s">
        <v>133</v>
      </c>
      <c r="D80" s="139">
        <v>5</v>
      </c>
      <c r="E80" s="139">
        <v>1.9100000000000001E-4</v>
      </c>
      <c r="F80" s="139">
        <v>9.5480000000000001E-4</v>
      </c>
      <c r="G80" s="139">
        <v>2.5</v>
      </c>
      <c r="H80" s="139">
        <v>98760.77</v>
      </c>
      <c r="I80" s="139">
        <v>94.292490000000001</v>
      </c>
      <c r="J80" s="139">
        <v>493568.12</v>
      </c>
      <c r="K80" s="139">
        <v>7391095.5</v>
      </c>
      <c r="L80" s="139">
        <v>74.838374000000002</v>
      </c>
    </row>
    <row r="81" spans="1:12" x14ac:dyDescent="0.3">
      <c r="A81" s="139" t="s">
        <v>131</v>
      </c>
      <c r="B81" s="139">
        <v>2019</v>
      </c>
      <c r="C81" s="139" t="s">
        <v>133</v>
      </c>
      <c r="D81" s="139">
        <v>10</v>
      </c>
      <c r="E81" s="139">
        <v>2.2499999999999999E-4</v>
      </c>
      <c r="F81" s="139">
        <v>1.1244E-3</v>
      </c>
      <c r="G81" s="139">
        <v>2.5</v>
      </c>
      <c r="H81" s="139">
        <v>98666.48</v>
      </c>
      <c r="I81" s="139">
        <v>110.93689000000001</v>
      </c>
      <c r="J81" s="139">
        <v>493055.05</v>
      </c>
      <c r="K81" s="139">
        <v>6897527.2999999998</v>
      </c>
      <c r="L81" s="139">
        <v>69.907505999999998</v>
      </c>
    </row>
    <row r="82" spans="1:12" x14ac:dyDescent="0.3">
      <c r="A82" s="139" t="s">
        <v>131</v>
      </c>
      <c r="B82" s="139">
        <v>2019</v>
      </c>
      <c r="C82" s="139" t="s">
        <v>133</v>
      </c>
      <c r="D82" s="139">
        <v>15</v>
      </c>
      <c r="E82" s="139">
        <v>4.4779999999999999E-4</v>
      </c>
      <c r="F82" s="139">
        <v>2.2366999999999999E-3</v>
      </c>
      <c r="G82" s="139">
        <v>2.5</v>
      </c>
      <c r="H82" s="139">
        <v>98555.54</v>
      </c>
      <c r="I82" s="139">
        <v>220.43834000000001</v>
      </c>
      <c r="J82" s="139">
        <v>492226.61</v>
      </c>
      <c r="K82" s="139">
        <v>6404472.2999999998</v>
      </c>
      <c r="L82" s="139">
        <v>64.983382000000006</v>
      </c>
    </row>
    <row r="83" spans="1:12" x14ac:dyDescent="0.3">
      <c r="A83" s="139" t="s">
        <v>131</v>
      </c>
      <c r="B83" s="139">
        <v>2019</v>
      </c>
      <c r="C83" s="139" t="s">
        <v>133</v>
      </c>
      <c r="D83" s="139">
        <v>20</v>
      </c>
      <c r="E83" s="139">
        <v>5.6439999999999995E-4</v>
      </c>
      <c r="F83" s="139">
        <v>2.8178999999999999E-3</v>
      </c>
      <c r="G83" s="139">
        <v>2.5</v>
      </c>
      <c r="H83" s="139">
        <v>98335.1</v>
      </c>
      <c r="I83" s="139">
        <v>277.09519999999998</v>
      </c>
      <c r="J83" s="139">
        <v>490982.77</v>
      </c>
      <c r="K83" s="139">
        <v>5912245.7000000002</v>
      </c>
      <c r="L83" s="139">
        <v>60.123451000000003</v>
      </c>
    </row>
    <row r="84" spans="1:12" x14ac:dyDescent="0.3">
      <c r="A84" s="139" t="s">
        <v>131</v>
      </c>
      <c r="B84" s="139">
        <v>2019</v>
      </c>
      <c r="C84" s="139" t="s">
        <v>133</v>
      </c>
      <c r="D84" s="139">
        <v>25</v>
      </c>
      <c r="E84" s="139">
        <v>7.1159999999999995E-4</v>
      </c>
      <c r="F84" s="139">
        <v>3.5515999999999998E-3</v>
      </c>
      <c r="G84" s="139">
        <v>2.5</v>
      </c>
      <c r="H84" s="139">
        <v>98058.01</v>
      </c>
      <c r="I84" s="139">
        <v>348.25794999999999</v>
      </c>
      <c r="J84" s="139">
        <v>489419.39</v>
      </c>
      <c r="K84" s="139">
        <v>5421262.9000000004</v>
      </c>
      <c r="L84" s="139">
        <v>55.286284999999999</v>
      </c>
    </row>
    <row r="85" spans="1:12" x14ac:dyDescent="0.3">
      <c r="A85" s="139" t="s">
        <v>131</v>
      </c>
      <c r="B85" s="139">
        <v>2019</v>
      </c>
      <c r="C85" s="139" t="s">
        <v>133</v>
      </c>
      <c r="D85" s="139">
        <v>30</v>
      </c>
      <c r="E85" s="139">
        <v>8.0610000000000002E-4</v>
      </c>
      <c r="F85" s="139">
        <v>4.0225E-3</v>
      </c>
      <c r="G85" s="139">
        <v>2.5</v>
      </c>
      <c r="H85" s="139">
        <v>97709.75</v>
      </c>
      <c r="I85" s="139">
        <v>393.03379000000001</v>
      </c>
      <c r="J85" s="139">
        <v>487566.16</v>
      </c>
      <c r="K85" s="139">
        <v>4931843.5</v>
      </c>
      <c r="L85" s="139">
        <v>50.474426000000001</v>
      </c>
    </row>
    <row r="86" spans="1:12" x14ac:dyDescent="0.3">
      <c r="A86" s="139" t="s">
        <v>131</v>
      </c>
      <c r="B86" s="139">
        <v>2019</v>
      </c>
      <c r="C86" s="139" t="s">
        <v>133</v>
      </c>
      <c r="D86" s="139">
        <v>35</v>
      </c>
      <c r="E86" s="139">
        <v>1.1069000000000001E-3</v>
      </c>
      <c r="F86" s="139">
        <v>5.5192000000000001E-3</v>
      </c>
      <c r="G86" s="139">
        <v>2.5</v>
      </c>
      <c r="H86" s="139">
        <v>97316.72</v>
      </c>
      <c r="I86" s="139">
        <v>537.11136999999997</v>
      </c>
      <c r="J86" s="139">
        <v>485240.8</v>
      </c>
      <c r="K86" s="139">
        <v>4444277.4000000004</v>
      </c>
      <c r="L86" s="139">
        <v>45.668180999999997</v>
      </c>
    </row>
    <row r="87" spans="1:12" x14ac:dyDescent="0.3">
      <c r="A87" s="139" t="s">
        <v>131</v>
      </c>
      <c r="B87" s="139">
        <v>2019</v>
      </c>
      <c r="C87" s="139" t="s">
        <v>133</v>
      </c>
      <c r="D87" s="139">
        <v>40</v>
      </c>
      <c r="E87" s="139">
        <v>1.6113E-3</v>
      </c>
      <c r="F87" s="139">
        <v>8.0242000000000004E-3</v>
      </c>
      <c r="G87" s="139">
        <v>2.5</v>
      </c>
      <c r="H87" s="139">
        <v>96779.6</v>
      </c>
      <c r="I87" s="139">
        <v>776.58280999999999</v>
      </c>
      <c r="J87" s="139">
        <v>481956.56</v>
      </c>
      <c r="K87" s="139">
        <v>3959036.6</v>
      </c>
      <c r="L87" s="139">
        <v>40.907758000000001</v>
      </c>
    </row>
    <row r="88" spans="1:12" x14ac:dyDescent="0.3">
      <c r="A88" s="139" t="s">
        <v>131</v>
      </c>
      <c r="B88" s="139">
        <v>2019</v>
      </c>
      <c r="C88" s="139" t="s">
        <v>133</v>
      </c>
      <c r="D88" s="139">
        <v>45</v>
      </c>
      <c r="E88" s="139">
        <v>2.8123000000000002E-3</v>
      </c>
      <c r="F88" s="139">
        <v>1.39635E-2</v>
      </c>
      <c r="G88" s="139">
        <v>2.5</v>
      </c>
      <c r="H88" s="139">
        <v>96003.02</v>
      </c>
      <c r="I88" s="139">
        <v>1340.53637</v>
      </c>
      <c r="J88" s="139">
        <v>476663.76</v>
      </c>
      <c r="K88" s="139">
        <v>3477080</v>
      </c>
      <c r="L88" s="139">
        <v>36.218443999999998</v>
      </c>
    </row>
    <row r="89" spans="1:12" x14ac:dyDescent="0.3">
      <c r="A89" s="139" t="s">
        <v>131</v>
      </c>
      <c r="B89" s="139">
        <v>2019</v>
      </c>
      <c r="C89" s="139" t="s">
        <v>133</v>
      </c>
      <c r="D89" s="139">
        <v>50</v>
      </c>
      <c r="E89" s="139">
        <v>4.2268000000000002E-3</v>
      </c>
      <c r="F89" s="139">
        <v>2.09132E-2</v>
      </c>
      <c r="G89" s="139">
        <v>2.5</v>
      </c>
      <c r="H89" s="139">
        <v>94662.48</v>
      </c>
      <c r="I89" s="139">
        <v>1979.69938</v>
      </c>
      <c r="J89" s="139">
        <v>468363.18</v>
      </c>
      <c r="K89" s="139">
        <v>3000416.2</v>
      </c>
      <c r="L89" s="139">
        <v>31.695938000000002</v>
      </c>
    </row>
    <row r="90" spans="1:12" x14ac:dyDescent="0.3">
      <c r="A90" s="139" t="s">
        <v>131</v>
      </c>
      <c r="B90" s="139">
        <v>2019</v>
      </c>
      <c r="C90" s="139" t="s">
        <v>133</v>
      </c>
      <c r="D90" s="139">
        <v>55</v>
      </c>
      <c r="E90" s="139">
        <v>6.9604999999999997E-3</v>
      </c>
      <c r="F90" s="139">
        <v>3.4207099999999997E-2</v>
      </c>
      <c r="G90" s="139">
        <v>2.5</v>
      </c>
      <c r="H90" s="139">
        <v>92682.79</v>
      </c>
      <c r="I90" s="139">
        <v>3170.4107899999999</v>
      </c>
      <c r="J90" s="139">
        <v>455487.9</v>
      </c>
      <c r="K90" s="139">
        <v>2532053.1</v>
      </c>
      <c r="L90" s="139">
        <v>27.319562000000001</v>
      </c>
    </row>
    <row r="91" spans="1:12" x14ac:dyDescent="0.3">
      <c r="A91" s="139" t="s">
        <v>131</v>
      </c>
      <c r="B91" s="139">
        <v>2019</v>
      </c>
      <c r="C91" s="139" t="s">
        <v>133</v>
      </c>
      <c r="D91" s="139">
        <v>60</v>
      </c>
      <c r="E91" s="139">
        <v>1.0857E-2</v>
      </c>
      <c r="F91" s="139">
        <v>5.2850500000000002E-2</v>
      </c>
      <c r="G91" s="139">
        <v>2.5</v>
      </c>
      <c r="H91" s="139">
        <v>89512.37</v>
      </c>
      <c r="I91" s="139">
        <v>4730.7700999999997</v>
      </c>
      <c r="J91" s="139">
        <v>435734.95</v>
      </c>
      <c r="K91" s="139">
        <v>2076565.2</v>
      </c>
      <c r="L91" s="139">
        <v>23.198637999999999</v>
      </c>
    </row>
    <row r="92" spans="1:12" x14ac:dyDescent="0.3">
      <c r="A92" s="139" t="s">
        <v>131</v>
      </c>
      <c r="B92" s="139">
        <v>2019</v>
      </c>
      <c r="C92" s="139" t="s">
        <v>133</v>
      </c>
      <c r="D92" s="139">
        <v>65</v>
      </c>
      <c r="E92" s="139">
        <v>1.6452899999999999E-2</v>
      </c>
      <c r="F92" s="139">
        <v>7.9014600000000004E-2</v>
      </c>
      <c r="G92" s="139">
        <v>2.5</v>
      </c>
      <c r="H92" s="139">
        <v>84781.6</v>
      </c>
      <c r="I92" s="139">
        <v>6698.9809299999997</v>
      </c>
      <c r="J92" s="139">
        <v>407160.57</v>
      </c>
      <c r="K92" s="139">
        <v>1640830.2</v>
      </c>
      <c r="L92" s="139">
        <v>19.353611000000001</v>
      </c>
    </row>
    <row r="93" spans="1:12" x14ac:dyDescent="0.3">
      <c r="A93" s="139" t="s">
        <v>131</v>
      </c>
      <c r="B93" s="139">
        <v>2019</v>
      </c>
      <c r="C93" s="139" t="s">
        <v>133</v>
      </c>
      <c r="D93" s="139">
        <v>70</v>
      </c>
      <c r="E93" s="139">
        <v>2.34995E-2</v>
      </c>
      <c r="F93" s="139">
        <v>0.1109776</v>
      </c>
      <c r="G93" s="139">
        <v>2.5</v>
      </c>
      <c r="H93" s="139">
        <v>78082.62</v>
      </c>
      <c r="I93" s="139">
        <v>8665.42346</v>
      </c>
      <c r="J93" s="139">
        <v>368749.56</v>
      </c>
      <c r="K93" s="139">
        <v>1233669.7</v>
      </c>
      <c r="L93" s="139">
        <v>15.799542000000001</v>
      </c>
    </row>
    <row r="94" spans="1:12" x14ac:dyDescent="0.3">
      <c r="A94" s="139" t="s">
        <v>131</v>
      </c>
      <c r="B94" s="139">
        <v>2019</v>
      </c>
      <c r="C94" s="139" t="s">
        <v>133</v>
      </c>
      <c r="D94" s="139">
        <v>75</v>
      </c>
      <c r="E94" s="139">
        <v>3.6627699999999999E-2</v>
      </c>
      <c r="F94" s="139">
        <v>0.16777549999999999</v>
      </c>
      <c r="G94" s="139">
        <v>2.5</v>
      </c>
      <c r="H94" s="139">
        <v>69417.2</v>
      </c>
      <c r="I94" s="139">
        <v>11646.50578</v>
      </c>
      <c r="J94" s="139">
        <v>317969.74</v>
      </c>
      <c r="K94" s="139">
        <v>864920.1</v>
      </c>
      <c r="L94" s="139">
        <v>12.459737000000001</v>
      </c>
    </row>
    <row r="95" spans="1:12" x14ac:dyDescent="0.3">
      <c r="A95" s="139" t="s">
        <v>131</v>
      </c>
      <c r="B95" s="139">
        <v>2019</v>
      </c>
      <c r="C95" s="139" t="s">
        <v>133</v>
      </c>
      <c r="D95" s="139">
        <v>80</v>
      </c>
      <c r="E95" s="139">
        <v>6.22049E-2</v>
      </c>
      <c r="F95" s="139">
        <v>0.26916580000000001</v>
      </c>
      <c r="G95" s="139">
        <v>2.5</v>
      </c>
      <c r="H95" s="139">
        <v>57770.69</v>
      </c>
      <c r="I95" s="139">
        <v>15549.892459999999</v>
      </c>
      <c r="J95" s="139">
        <v>249978.74</v>
      </c>
      <c r="K95" s="139">
        <v>546950.40000000002</v>
      </c>
      <c r="L95" s="139">
        <v>9.4676089999999995</v>
      </c>
    </row>
    <row r="96" spans="1:12" x14ac:dyDescent="0.3">
      <c r="A96" s="139" t="s">
        <v>131</v>
      </c>
      <c r="B96" s="139">
        <v>2019</v>
      </c>
      <c r="C96" s="139" t="s">
        <v>133</v>
      </c>
      <c r="D96" s="139">
        <v>85</v>
      </c>
      <c r="E96" s="139">
        <v>0.1421712</v>
      </c>
      <c r="F96" s="139">
        <v>1</v>
      </c>
      <c r="G96" s="139">
        <v>2.5</v>
      </c>
      <c r="H96" s="139">
        <v>42220.800000000003</v>
      </c>
      <c r="I96" s="139">
        <v>42220.801879999999</v>
      </c>
      <c r="J96" s="139">
        <v>296971.62</v>
      </c>
      <c r="K96" s="139">
        <v>296971.59999999998</v>
      </c>
      <c r="L96" s="139">
        <v>7.0337750000000003</v>
      </c>
    </row>
    <row r="97" spans="8:8" x14ac:dyDescent="0.3">
      <c r="H97" s="1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dimension ref="A1:D1236"/>
  <sheetViews>
    <sheetView topLeftCell="A1219" workbookViewId="0">
      <selection activeCell="D1218" sqref="D1218:D1236"/>
    </sheetView>
  </sheetViews>
  <sheetFormatPr baseColWidth="10" defaultRowHeight="14.4" x14ac:dyDescent="0.3"/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553" spans="1:4" x14ac:dyDescent="0.3">
      <c r="A553" s="138">
        <v>2019</v>
      </c>
      <c r="B553" s="138" t="s">
        <v>120</v>
      </c>
      <c r="C553" s="138">
        <v>0</v>
      </c>
      <c r="D553" s="138">
        <v>6</v>
      </c>
    </row>
    <row r="554" spans="1:4" x14ac:dyDescent="0.3">
      <c r="A554" s="138">
        <v>2019</v>
      </c>
      <c r="B554" s="138" t="s">
        <v>120</v>
      </c>
      <c r="C554" s="138">
        <v>1</v>
      </c>
      <c r="D554" s="138">
        <v>17</v>
      </c>
    </row>
    <row r="555" spans="1:4" x14ac:dyDescent="0.3">
      <c r="A555" s="138">
        <v>2019</v>
      </c>
      <c r="B555" s="138" t="s">
        <v>120</v>
      </c>
      <c r="C555" s="138">
        <v>5</v>
      </c>
      <c r="D555" s="138">
        <v>11</v>
      </c>
    </row>
    <row r="556" spans="1:4" x14ac:dyDescent="0.3">
      <c r="A556" s="138">
        <v>2019</v>
      </c>
      <c r="B556" s="138" t="s">
        <v>120</v>
      </c>
      <c r="C556" s="138">
        <v>10</v>
      </c>
      <c r="D556" s="138">
        <v>22</v>
      </c>
    </row>
    <row r="557" spans="1:4" x14ac:dyDescent="0.3">
      <c r="A557" s="138">
        <v>2019</v>
      </c>
      <c r="B557" s="138" t="s">
        <v>120</v>
      </c>
      <c r="C557" s="138">
        <v>15</v>
      </c>
      <c r="D557" s="138">
        <v>166</v>
      </c>
    </row>
    <row r="558" spans="1:4" x14ac:dyDescent="0.3">
      <c r="A558" s="138">
        <v>2019</v>
      </c>
      <c r="B558" s="138" t="s">
        <v>120</v>
      </c>
      <c r="C558" s="138">
        <v>20</v>
      </c>
      <c r="D558" s="138">
        <v>321</v>
      </c>
    </row>
    <row r="559" spans="1:4" x14ac:dyDescent="0.3">
      <c r="A559" s="138">
        <v>2019</v>
      </c>
      <c r="B559" s="138" t="s">
        <v>120</v>
      </c>
      <c r="C559" s="138">
        <v>25</v>
      </c>
      <c r="D559" s="138">
        <v>423</v>
      </c>
    </row>
    <row r="560" spans="1:4" x14ac:dyDescent="0.3">
      <c r="A560" s="138">
        <v>2019</v>
      </c>
      <c r="B560" s="138" t="s">
        <v>120</v>
      </c>
      <c r="C560" s="138">
        <v>30</v>
      </c>
      <c r="D560" s="138">
        <v>400</v>
      </c>
    </row>
    <row r="561" spans="1:4" x14ac:dyDescent="0.3">
      <c r="A561" s="138">
        <v>2019</v>
      </c>
      <c r="B561" s="138" t="s">
        <v>120</v>
      </c>
      <c r="C561" s="138">
        <v>35</v>
      </c>
      <c r="D561" s="138">
        <v>317</v>
      </c>
    </row>
    <row r="562" spans="1:4" x14ac:dyDescent="0.3">
      <c r="A562" s="138">
        <v>2019</v>
      </c>
      <c r="B562" s="138" t="s">
        <v>120</v>
      </c>
      <c r="C562" s="138">
        <v>40</v>
      </c>
      <c r="D562" s="138">
        <v>274</v>
      </c>
    </row>
    <row r="563" spans="1:4" x14ac:dyDescent="0.3">
      <c r="A563" s="138">
        <v>2019</v>
      </c>
      <c r="B563" s="138" t="s">
        <v>120</v>
      </c>
      <c r="C563" s="138">
        <v>45</v>
      </c>
      <c r="D563" s="138">
        <v>202</v>
      </c>
    </row>
    <row r="564" spans="1:4" x14ac:dyDescent="0.3">
      <c r="A564" s="138">
        <v>2019</v>
      </c>
      <c r="B564" s="138" t="s">
        <v>120</v>
      </c>
      <c r="C564" s="138">
        <v>50</v>
      </c>
      <c r="D564" s="138">
        <v>146</v>
      </c>
    </row>
    <row r="565" spans="1:4" x14ac:dyDescent="0.3">
      <c r="A565" s="138">
        <v>2019</v>
      </c>
      <c r="B565" s="138" t="s">
        <v>120</v>
      </c>
      <c r="C565" s="138">
        <v>55</v>
      </c>
      <c r="D565" s="138">
        <v>99</v>
      </c>
    </row>
    <row r="566" spans="1:4" x14ac:dyDescent="0.3">
      <c r="A566" s="138">
        <v>2019</v>
      </c>
      <c r="B566" s="138" t="s">
        <v>120</v>
      </c>
      <c r="C566" s="138">
        <v>60</v>
      </c>
      <c r="D566" s="138">
        <v>80</v>
      </c>
    </row>
    <row r="567" spans="1:4" x14ac:dyDescent="0.3">
      <c r="A567" s="138">
        <v>2019</v>
      </c>
      <c r="B567" s="138" t="s">
        <v>120</v>
      </c>
      <c r="C567" s="138">
        <v>65</v>
      </c>
      <c r="D567" s="138">
        <v>44</v>
      </c>
    </row>
    <row r="568" spans="1:4" x14ac:dyDescent="0.3">
      <c r="A568" s="138">
        <v>2019</v>
      </c>
      <c r="B568" s="138" t="s">
        <v>120</v>
      </c>
      <c r="C568" s="138">
        <v>70</v>
      </c>
      <c r="D568" s="138">
        <v>28</v>
      </c>
    </row>
    <row r="569" spans="1:4" x14ac:dyDescent="0.3">
      <c r="A569" s="138">
        <v>2019</v>
      </c>
      <c r="B569" s="138" t="s">
        <v>120</v>
      </c>
      <c r="C569" s="138">
        <v>75</v>
      </c>
      <c r="D569" s="138">
        <v>13</v>
      </c>
    </row>
    <row r="570" spans="1:4" x14ac:dyDescent="0.3">
      <c r="A570" s="138">
        <v>2019</v>
      </c>
      <c r="B570" s="138" t="s">
        <v>120</v>
      </c>
      <c r="C570" s="138">
        <v>80</v>
      </c>
      <c r="D570" s="138">
        <v>8</v>
      </c>
    </row>
    <row r="571" spans="1:4" x14ac:dyDescent="0.3">
      <c r="A571" s="138">
        <v>2019</v>
      </c>
      <c r="B571" s="138" t="s">
        <v>120</v>
      </c>
      <c r="C571" s="138">
        <v>85</v>
      </c>
      <c r="D571" s="138">
        <v>7</v>
      </c>
    </row>
    <row r="1218" spans="1:4" x14ac:dyDescent="0.3">
      <c r="A1218" s="139">
        <v>2019</v>
      </c>
      <c r="B1218" s="139" t="s">
        <v>121</v>
      </c>
      <c r="C1218" s="139">
        <v>0</v>
      </c>
      <c r="D1218" s="139">
        <v>9</v>
      </c>
    </row>
    <row r="1219" spans="1:4" x14ac:dyDescent="0.3">
      <c r="A1219" s="139">
        <v>2019</v>
      </c>
      <c r="B1219" s="139" t="s">
        <v>121</v>
      </c>
      <c r="C1219" s="139">
        <v>1</v>
      </c>
      <c r="D1219" s="139">
        <v>9</v>
      </c>
    </row>
    <row r="1220" spans="1:4" x14ac:dyDescent="0.3">
      <c r="A1220" s="139">
        <v>2019</v>
      </c>
      <c r="B1220" s="139" t="s">
        <v>121</v>
      </c>
      <c r="C1220" s="139">
        <v>5</v>
      </c>
      <c r="D1220" s="139">
        <v>6</v>
      </c>
    </row>
    <row r="1221" spans="1:4" x14ac:dyDescent="0.3">
      <c r="A1221" s="139">
        <v>2019</v>
      </c>
      <c r="B1221" s="139" t="s">
        <v>121</v>
      </c>
      <c r="C1221" s="139">
        <v>10</v>
      </c>
      <c r="D1221" s="139">
        <v>10</v>
      </c>
    </row>
    <row r="1222" spans="1:4" x14ac:dyDescent="0.3">
      <c r="A1222" s="139">
        <v>2019</v>
      </c>
      <c r="B1222" s="139" t="s">
        <v>121</v>
      </c>
      <c r="C1222" s="139">
        <v>15</v>
      </c>
      <c r="D1222" s="139">
        <v>34</v>
      </c>
    </row>
    <row r="1223" spans="1:4" x14ac:dyDescent="0.3">
      <c r="A1223" s="139">
        <v>2019</v>
      </c>
      <c r="B1223" s="139" t="s">
        <v>121</v>
      </c>
      <c r="C1223" s="139">
        <v>20</v>
      </c>
      <c r="D1223" s="139">
        <v>65</v>
      </c>
    </row>
    <row r="1224" spans="1:4" x14ac:dyDescent="0.3">
      <c r="A1224" s="139">
        <v>2019</v>
      </c>
      <c r="B1224" s="139" t="s">
        <v>121</v>
      </c>
      <c r="C1224" s="139">
        <v>25</v>
      </c>
      <c r="D1224" s="139">
        <v>62</v>
      </c>
    </row>
    <row r="1225" spans="1:4" x14ac:dyDescent="0.3">
      <c r="A1225" s="139">
        <v>2019</v>
      </c>
      <c r="B1225" s="139" t="s">
        <v>121</v>
      </c>
      <c r="C1225" s="139">
        <v>30</v>
      </c>
      <c r="D1225" s="139">
        <v>49</v>
      </c>
    </row>
    <row r="1226" spans="1:4" x14ac:dyDescent="0.3">
      <c r="A1226" s="139">
        <v>2019</v>
      </c>
      <c r="B1226" s="139" t="s">
        <v>121</v>
      </c>
      <c r="C1226" s="139">
        <v>35</v>
      </c>
      <c r="D1226" s="139">
        <v>40</v>
      </c>
    </row>
    <row r="1227" spans="1:4" x14ac:dyDescent="0.3">
      <c r="A1227" s="139">
        <v>2019</v>
      </c>
      <c r="B1227" s="139" t="s">
        <v>121</v>
      </c>
      <c r="C1227" s="139">
        <v>40</v>
      </c>
      <c r="D1227" s="139">
        <v>41</v>
      </c>
    </row>
    <row r="1228" spans="1:4" x14ac:dyDescent="0.3">
      <c r="A1228" s="139">
        <v>2019</v>
      </c>
      <c r="B1228" s="139" t="s">
        <v>121</v>
      </c>
      <c r="C1228" s="139">
        <v>45</v>
      </c>
      <c r="D1228" s="139">
        <v>19</v>
      </c>
    </row>
    <row r="1229" spans="1:4" x14ac:dyDescent="0.3">
      <c r="A1229" s="139">
        <v>2019</v>
      </c>
      <c r="B1229" s="139" t="s">
        <v>121</v>
      </c>
      <c r="C1229" s="139">
        <v>50</v>
      </c>
      <c r="D1229" s="139">
        <v>13</v>
      </c>
    </row>
    <row r="1230" spans="1:4" x14ac:dyDescent="0.3">
      <c r="A1230" s="139">
        <v>2019</v>
      </c>
      <c r="B1230" s="139" t="s">
        <v>121</v>
      </c>
      <c r="C1230" s="139">
        <v>55</v>
      </c>
      <c r="D1230" s="139">
        <v>27</v>
      </c>
    </row>
    <row r="1231" spans="1:4" x14ac:dyDescent="0.3">
      <c r="A1231" s="139">
        <v>2019</v>
      </c>
      <c r="B1231" s="139" t="s">
        <v>121</v>
      </c>
      <c r="C1231" s="139">
        <v>60</v>
      </c>
      <c r="D1231" s="139">
        <v>11</v>
      </c>
    </row>
    <row r="1232" spans="1:4" x14ac:dyDescent="0.3">
      <c r="A1232" s="139">
        <v>2019</v>
      </c>
      <c r="B1232" s="139" t="s">
        <v>121</v>
      </c>
      <c r="C1232" s="139">
        <v>65</v>
      </c>
      <c r="D1232" s="139">
        <v>4</v>
      </c>
    </row>
    <row r="1233" spans="1:4" x14ac:dyDescent="0.3">
      <c r="A1233" s="139">
        <v>2019</v>
      </c>
      <c r="B1233" s="139" t="s">
        <v>121</v>
      </c>
      <c r="C1233" s="139">
        <v>70</v>
      </c>
      <c r="D1233" s="139">
        <v>6</v>
      </c>
    </row>
    <row r="1234" spans="1:4" x14ac:dyDescent="0.3">
      <c r="A1234" s="139">
        <v>2019</v>
      </c>
      <c r="B1234" s="139" t="s">
        <v>121</v>
      </c>
      <c r="C1234" s="139">
        <v>75</v>
      </c>
      <c r="D1234" s="139">
        <v>5</v>
      </c>
    </row>
    <row r="1235" spans="1:4" x14ac:dyDescent="0.3">
      <c r="A1235" s="139">
        <v>2019</v>
      </c>
      <c r="B1235" s="139" t="s">
        <v>121</v>
      </c>
      <c r="C1235" s="139">
        <v>80</v>
      </c>
      <c r="D1235" s="139">
        <v>5</v>
      </c>
    </row>
    <row r="1236" spans="1:4" x14ac:dyDescent="0.3">
      <c r="A1236" s="139">
        <v>2019</v>
      </c>
      <c r="B1236" s="139" t="s">
        <v>121</v>
      </c>
      <c r="C1236" s="139">
        <v>85</v>
      </c>
      <c r="D1236" s="13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5A-8B8A-B84C-82BA-E04D66343388}">
  <dimension ref="A1:D96"/>
  <sheetViews>
    <sheetView topLeftCell="A87" workbookViewId="0">
      <selection activeCell="R87" sqref="R87"/>
    </sheetView>
  </sheetViews>
  <sheetFormatPr baseColWidth="10" defaultRowHeight="14.4" x14ac:dyDescent="0.3"/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1" spans="1:4" x14ac:dyDescent="0.3">
      <c r="A21" s="138">
        <v>2019</v>
      </c>
      <c r="B21" s="138" t="s">
        <v>120</v>
      </c>
      <c r="C21" s="138">
        <v>0</v>
      </c>
      <c r="D21" s="138">
        <v>1759</v>
      </c>
    </row>
    <row r="22" spans="1:4" x14ac:dyDescent="0.3">
      <c r="A22" s="138">
        <v>2019</v>
      </c>
      <c r="B22" s="138" t="s">
        <v>120</v>
      </c>
      <c r="C22" s="138">
        <v>1</v>
      </c>
      <c r="D22" s="138">
        <v>333</v>
      </c>
    </row>
    <row r="23" spans="1:4" x14ac:dyDescent="0.3">
      <c r="A23" s="138">
        <v>2019</v>
      </c>
      <c r="B23" s="138" t="s">
        <v>120</v>
      </c>
      <c r="C23" s="138">
        <v>5</v>
      </c>
      <c r="D23" s="138">
        <v>162</v>
      </c>
    </row>
    <row r="24" spans="1:4" x14ac:dyDescent="0.3">
      <c r="A24" s="138">
        <v>2019</v>
      </c>
      <c r="B24" s="138" t="s">
        <v>120</v>
      </c>
      <c r="C24" s="138">
        <v>10</v>
      </c>
      <c r="D24" s="138">
        <v>243</v>
      </c>
    </row>
    <row r="25" spans="1:4" x14ac:dyDescent="0.3">
      <c r="A25" s="138">
        <v>2019</v>
      </c>
      <c r="B25" s="138" t="s">
        <v>120</v>
      </c>
      <c r="C25" s="138">
        <v>15</v>
      </c>
      <c r="D25" s="138">
        <v>731</v>
      </c>
    </row>
    <row r="26" spans="1:4" x14ac:dyDescent="0.3">
      <c r="A26" s="138">
        <v>2019</v>
      </c>
      <c r="B26" s="138" t="s">
        <v>120</v>
      </c>
      <c r="C26" s="138">
        <v>20</v>
      </c>
      <c r="D26" s="138">
        <v>1263</v>
      </c>
    </row>
    <row r="27" spans="1:4" x14ac:dyDescent="0.3">
      <c r="A27" s="138">
        <v>2019</v>
      </c>
      <c r="B27" s="138" t="s">
        <v>120</v>
      </c>
      <c r="C27" s="138">
        <v>25</v>
      </c>
      <c r="D27" s="138">
        <v>1614</v>
      </c>
    </row>
    <row r="28" spans="1:4" x14ac:dyDescent="0.3">
      <c r="A28" s="138">
        <v>2019</v>
      </c>
      <c r="B28" s="138" t="s">
        <v>120</v>
      </c>
      <c r="C28" s="138">
        <v>30</v>
      </c>
      <c r="D28" s="138">
        <v>1619</v>
      </c>
    </row>
    <row r="29" spans="1:4" x14ac:dyDescent="0.3">
      <c r="A29" s="138">
        <v>2019</v>
      </c>
      <c r="B29" s="138" t="s">
        <v>120</v>
      </c>
      <c r="C29" s="138">
        <v>35</v>
      </c>
      <c r="D29" s="138">
        <v>1875</v>
      </c>
    </row>
    <row r="30" spans="1:4" x14ac:dyDescent="0.3">
      <c r="A30" s="138">
        <v>2019</v>
      </c>
      <c r="B30" s="138" t="s">
        <v>120</v>
      </c>
      <c r="C30" s="138">
        <v>40</v>
      </c>
      <c r="D30" s="138">
        <v>2182</v>
      </c>
    </row>
    <row r="31" spans="1:4" x14ac:dyDescent="0.3">
      <c r="A31" s="138">
        <v>2019</v>
      </c>
      <c r="B31" s="138" t="s">
        <v>120</v>
      </c>
      <c r="C31" s="138">
        <v>45</v>
      </c>
      <c r="D31" s="138">
        <v>2815</v>
      </c>
    </row>
    <row r="32" spans="1:4" x14ac:dyDescent="0.3">
      <c r="A32" s="138">
        <v>2019</v>
      </c>
      <c r="B32" s="138" t="s">
        <v>120</v>
      </c>
      <c r="C32" s="138">
        <v>50</v>
      </c>
      <c r="D32" s="138">
        <v>3360</v>
      </c>
    </row>
    <row r="33" spans="1:4" x14ac:dyDescent="0.3">
      <c r="A33" s="138">
        <v>2019</v>
      </c>
      <c r="B33" s="138" t="s">
        <v>120</v>
      </c>
      <c r="C33" s="138">
        <v>55</v>
      </c>
      <c r="D33" s="138">
        <v>4047</v>
      </c>
    </row>
    <row r="34" spans="1:4" x14ac:dyDescent="0.3">
      <c r="A34" s="138">
        <v>2019</v>
      </c>
      <c r="B34" s="138" t="s">
        <v>120</v>
      </c>
      <c r="C34" s="138">
        <v>60</v>
      </c>
      <c r="D34" s="138">
        <v>4412</v>
      </c>
    </row>
    <row r="35" spans="1:4" x14ac:dyDescent="0.3">
      <c r="A35" s="138">
        <v>2019</v>
      </c>
      <c r="B35" s="138" t="s">
        <v>120</v>
      </c>
      <c r="C35" s="138">
        <v>65</v>
      </c>
      <c r="D35" s="138">
        <v>4470</v>
      </c>
    </row>
    <row r="36" spans="1:4" x14ac:dyDescent="0.3">
      <c r="A36" s="138">
        <v>2019</v>
      </c>
      <c r="B36" s="138" t="s">
        <v>120</v>
      </c>
      <c r="C36" s="138">
        <v>70</v>
      </c>
      <c r="D36" s="138">
        <v>4573</v>
      </c>
    </row>
    <row r="37" spans="1:4" x14ac:dyDescent="0.3">
      <c r="A37" s="138">
        <v>2019</v>
      </c>
      <c r="B37" s="138" t="s">
        <v>120</v>
      </c>
      <c r="C37" s="138">
        <v>75</v>
      </c>
      <c r="D37" s="138">
        <v>4349</v>
      </c>
    </row>
    <row r="38" spans="1:4" x14ac:dyDescent="0.3">
      <c r="A38" s="138">
        <v>2019</v>
      </c>
      <c r="B38" s="138" t="s">
        <v>120</v>
      </c>
      <c r="C38" s="138">
        <v>80</v>
      </c>
      <c r="D38" s="138">
        <v>3999</v>
      </c>
    </row>
    <row r="39" spans="1:4" x14ac:dyDescent="0.3">
      <c r="A39" s="138">
        <v>2019</v>
      </c>
      <c r="B39" s="138" t="s">
        <v>120</v>
      </c>
      <c r="C39" s="138">
        <v>85</v>
      </c>
      <c r="D39" s="138">
        <v>5477</v>
      </c>
    </row>
    <row r="78" spans="1:4" x14ac:dyDescent="0.3">
      <c r="A78" s="139">
        <v>2019</v>
      </c>
      <c r="B78" s="139" t="s">
        <v>121</v>
      </c>
      <c r="C78" s="139">
        <v>0</v>
      </c>
      <c r="D78" s="139">
        <v>1391</v>
      </c>
    </row>
    <row r="79" spans="1:4" x14ac:dyDescent="0.3">
      <c r="A79" s="139">
        <v>2019</v>
      </c>
      <c r="B79" s="139" t="s">
        <v>121</v>
      </c>
      <c r="C79" s="139">
        <v>1</v>
      </c>
      <c r="D79" s="139">
        <v>245</v>
      </c>
    </row>
    <row r="80" spans="1:4" x14ac:dyDescent="0.3">
      <c r="A80" s="139">
        <v>2019</v>
      </c>
      <c r="B80" s="139" t="s">
        <v>121</v>
      </c>
      <c r="C80" s="139">
        <v>5</v>
      </c>
      <c r="D80" s="139">
        <v>135</v>
      </c>
    </row>
    <row r="81" spans="1:4" x14ac:dyDescent="0.3">
      <c r="A81" s="139">
        <v>2019</v>
      </c>
      <c r="B81" s="139" t="s">
        <v>121</v>
      </c>
      <c r="C81" s="139">
        <v>10</v>
      </c>
      <c r="D81" s="139">
        <v>168</v>
      </c>
    </row>
    <row r="82" spans="1:4" x14ac:dyDescent="0.3">
      <c r="A82" s="139">
        <v>2019</v>
      </c>
      <c r="B82" s="139" t="s">
        <v>121</v>
      </c>
      <c r="C82" s="139">
        <v>15</v>
      </c>
      <c r="D82" s="139">
        <v>343</v>
      </c>
    </row>
    <row r="83" spans="1:4" x14ac:dyDescent="0.3">
      <c r="A83" s="139">
        <v>2019</v>
      </c>
      <c r="B83" s="139" t="s">
        <v>121</v>
      </c>
      <c r="C83" s="139">
        <v>20</v>
      </c>
      <c r="D83" s="139">
        <v>426</v>
      </c>
    </row>
    <row r="84" spans="1:4" x14ac:dyDescent="0.3">
      <c r="A84" s="139">
        <v>2019</v>
      </c>
      <c r="B84" s="139" t="s">
        <v>121</v>
      </c>
      <c r="C84" s="139">
        <v>25</v>
      </c>
      <c r="D84" s="139">
        <v>527</v>
      </c>
    </row>
    <row r="85" spans="1:4" x14ac:dyDescent="0.3">
      <c r="A85" s="139">
        <v>2019</v>
      </c>
      <c r="B85" s="139" t="s">
        <v>121</v>
      </c>
      <c r="C85" s="139">
        <v>30</v>
      </c>
      <c r="D85" s="139">
        <v>558</v>
      </c>
    </row>
    <row r="86" spans="1:4" x14ac:dyDescent="0.3">
      <c r="A86" s="139">
        <v>2019</v>
      </c>
      <c r="B86" s="139" t="s">
        <v>121</v>
      </c>
      <c r="C86" s="139">
        <v>35</v>
      </c>
      <c r="D86" s="139">
        <v>717</v>
      </c>
    </row>
    <row r="87" spans="1:4" x14ac:dyDescent="0.3">
      <c r="A87" s="139">
        <v>2019</v>
      </c>
      <c r="B87" s="139" t="s">
        <v>121</v>
      </c>
      <c r="C87" s="139">
        <v>40</v>
      </c>
      <c r="D87" s="139">
        <v>1005</v>
      </c>
    </row>
    <row r="88" spans="1:4" x14ac:dyDescent="0.3">
      <c r="A88" s="139">
        <v>2019</v>
      </c>
      <c r="B88" s="139" t="s">
        <v>121</v>
      </c>
      <c r="C88" s="139">
        <v>45</v>
      </c>
      <c r="D88" s="139">
        <v>1645</v>
      </c>
    </row>
    <row r="89" spans="1:4" x14ac:dyDescent="0.3">
      <c r="A89" s="139">
        <v>2019</v>
      </c>
      <c r="B89" s="139" t="s">
        <v>121</v>
      </c>
      <c r="C89" s="139">
        <v>50</v>
      </c>
      <c r="D89" s="139">
        <v>2115</v>
      </c>
    </row>
    <row r="90" spans="1:4" x14ac:dyDescent="0.3">
      <c r="A90" s="139">
        <v>2019</v>
      </c>
      <c r="B90" s="139" t="s">
        <v>121</v>
      </c>
      <c r="C90" s="139">
        <v>55</v>
      </c>
      <c r="D90" s="139">
        <v>2856</v>
      </c>
    </row>
    <row r="91" spans="1:4" x14ac:dyDescent="0.3">
      <c r="A91" s="139">
        <v>2019</v>
      </c>
      <c r="B91" s="139" t="s">
        <v>121</v>
      </c>
      <c r="C91" s="139">
        <v>60</v>
      </c>
      <c r="D91" s="139">
        <v>3416</v>
      </c>
    </row>
    <row r="92" spans="1:4" x14ac:dyDescent="0.3">
      <c r="A92" s="139">
        <v>2019</v>
      </c>
      <c r="B92" s="139" t="s">
        <v>121</v>
      </c>
      <c r="C92" s="139">
        <v>65</v>
      </c>
      <c r="D92" s="139">
        <v>3723</v>
      </c>
    </row>
    <row r="93" spans="1:4" x14ac:dyDescent="0.3">
      <c r="A93" s="139">
        <v>2019</v>
      </c>
      <c r="B93" s="139" t="s">
        <v>121</v>
      </c>
      <c r="C93" s="139">
        <v>70</v>
      </c>
      <c r="D93" s="139">
        <v>3898</v>
      </c>
    </row>
    <row r="94" spans="1:4" x14ac:dyDescent="0.3">
      <c r="A94" s="139">
        <v>2019</v>
      </c>
      <c r="B94" s="139" t="s">
        <v>121</v>
      </c>
      <c r="C94" s="139">
        <v>75</v>
      </c>
      <c r="D94" s="139">
        <v>4166</v>
      </c>
    </row>
    <row r="95" spans="1:4" x14ac:dyDescent="0.3">
      <c r="A95" s="139">
        <v>2019</v>
      </c>
      <c r="B95" s="139" t="s">
        <v>121</v>
      </c>
      <c r="C95" s="139">
        <v>80</v>
      </c>
      <c r="D95" s="139">
        <v>4347</v>
      </c>
    </row>
    <row r="96" spans="1:4" x14ac:dyDescent="0.3">
      <c r="A96" s="139">
        <v>2019</v>
      </c>
      <c r="B96" s="139" t="s">
        <v>121</v>
      </c>
      <c r="C96" s="139">
        <v>85</v>
      </c>
      <c r="D96" s="139">
        <v>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24</vt:i4>
      </vt:variant>
    </vt:vector>
  </HeadingPairs>
  <TitlesOfParts>
    <vt:vector size="31" baseType="lpstr">
      <vt:lpstr>Introduction</vt:lpstr>
      <vt:lpstr>Coefficients</vt:lpstr>
      <vt:lpstr>Model LTs</vt:lpstr>
      <vt:lpstr>Decrementos Múltiples</vt:lpstr>
      <vt:lpstr>LT</vt:lpstr>
      <vt:lpstr>Homicidios</vt:lpstr>
      <vt:lpstr>Defunciones generales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Víctor Sánchez Gayosso</cp:lastModifiedBy>
  <dcterms:created xsi:type="dcterms:W3CDTF">2012-05-08T12:24:09Z</dcterms:created>
  <dcterms:modified xsi:type="dcterms:W3CDTF">2026-06-04T01:44:58Z</dcterms:modified>
</cp:coreProperties>
</file>